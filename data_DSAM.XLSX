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Users\SAMSUNG\DSAM\"/>
    </mc:Choice>
  </mc:AlternateContent>
  <xr:revisionPtr revIDLastSave="0" documentId="13_ncr:1_{CBD5FE65-FF0C-427F-8F37-62F4A1F7C868}" xr6:coauthVersionLast="47" xr6:coauthVersionMax="47" xr10:uidLastSave="{00000000-0000-0000-0000-000000000000}"/>
  <bookViews>
    <workbookView xWindow="0" yWindow="600" windowWidth="16416" windowHeight="12360" xr2:uid="{00000000-000D-0000-FFFF-FFFF00000000}"/>
  </bookViews>
  <sheets>
    <sheet name="国家基础" sheetId="1" r:id="rId1"/>
    <sheet name="疫情处置" sheetId="3" r:id="rId2"/>
  </sheets>
  <definedNames>
    <definedName name="_xlnm._FilterDatabase" localSheetId="0" hidden="1">国家基础!$A$1:$G$92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2" i="1"/>
  <c r="K70" i="1"/>
  <c r="K67" i="1"/>
  <c r="K63" i="1"/>
  <c r="K58" i="1"/>
  <c r="K52" i="1"/>
  <c r="K49" i="1"/>
  <c r="K42" i="1"/>
  <c r="K39" i="1"/>
  <c r="K33" i="1"/>
  <c r="G67" i="1"/>
  <c r="D67" i="1" s="1"/>
  <c r="B13" i="3"/>
  <c r="B12" i="3"/>
  <c r="Q67" i="1" l="1"/>
</calcChain>
</file>

<file path=xl/sharedStrings.xml><?xml version="1.0" encoding="utf-8"?>
<sst xmlns="http://schemas.openxmlformats.org/spreadsheetml/2006/main" count="121" uniqueCount="114">
  <si>
    <t>国家</t>
    <phoneticPr fontId="2" type="noConversion"/>
  </si>
  <si>
    <t>南非</t>
    <phoneticPr fontId="2" type="noConversion"/>
  </si>
  <si>
    <t>英国</t>
    <phoneticPr fontId="2" type="noConversion"/>
  </si>
  <si>
    <t>德国</t>
    <phoneticPr fontId="2" type="noConversion"/>
  </si>
  <si>
    <t>加拿大</t>
    <phoneticPr fontId="2" type="noConversion"/>
  </si>
  <si>
    <t>中国</t>
    <phoneticPr fontId="2" type="noConversion"/>
  </si>
  <si>
    <t>美国</t>
    <phoneticPr fontId="2" type="noConversion"/>
  </si>
  <si>
    <t>疫情处置措施</t>
    <phoneticPr fontId="1" type="noConversion"/>
  </si>
  <si>
    <t>监测与诊断</t>
    <phoneticPr fontId="2" type="noConversion"/>
  </si>
  <si>
    <t>医疗卫生就绪度</t>
    <phoneticPr fontId="2" type="noConversion"/>
  </si>
  <si>
    <t>老挝</t>
    <phoneticPr fontId="1" type="noConversion"/>
  </si>
  <si>
    <t>缅甸</t>
    <phoneticPr fontId="1" type="noConversion"/>
  </si>
  <si>
    <t>S1 采取限制措施并实施；S2颁布相关政策但未落实；S3 不采取限制措施</t>
    <phoneticPr fontId="1" type="noConversion"/>
  </si>
  <si>
    <t>涉疫面积</t>
    <phoneticPr fontId="2" type="noConversion"/>
  </si>
  <si>
    <t>瑞士</t>
  </si>
  <si>
    <t>以色列</t>
  </si>
  <si>
    <t>新加坡</t>
  </si>
  <si>
    <t>日本</t>
  </si>
  <si>
    <t>奥地利</t>
  </si>
  <si>
    <t>澳大利亚</t>
  </si>
  <si>
    <t>新西兰</t>
  </si>
  <si>
    <t>韩国</t>
  </si>
  <si>
    <t>挪威</t>
  </si>
  <si>
    <t>丹麦</t>
  </si>
  <si>
    <t>台湾</t>
  </si>
  <si>
    <t>沙特阿拉伯</t>
  </si>
  <si>
    <t>匈牙利</t>
  </si>
  <si>
    <t>越南</t>
  </si>
  <si>
    <t>科威特</t>
  </si>
  <si>
    <t>冰岛</t>
  </si>
  <si>
    <t>巴林</t>
  </si>
  <si>
    <t>芬兰</t>
  </si>
  <si>
    <t>卢森堡</t>
  </si>
  <si>
    <t>卡塔尔</t>
  </si>
  <si>
    <t>波兰</t>
  </si>
  <si>
    <t>立陶宛</t>
  </si>
  <si>
    <t>马来西亚</t>
  </si>
  <si>
    <t>拉脱维亚</t>
  </si>
  <si>
    <t>斯洛文尼亚</t>
  </si>
  <si>
    <t>阿曼</t>
  </si>
  <si>
    <t>希腊</t>
  </si>
  <si>
    <t>爱沙尼亚</t>
  </si>
  <si>
    <t>克罗地亚</t>
  </si>
  <si>
    <t>土耳其</t>
  </si>
  <si>
    <t>格鲁吉亚</t>
  </si>
  <si>
    <t>塞浦路斯</t>
  </si>
  <si>
    <t>智利</t>
  </si>
  <si>
    <t>黑山</t>
  </si>
  <si>
    <t>捷克共和国</t>
  </si>
  <si>
    <t>马耳他</t>
  </si>
  <si>
    <t>葡萄牙</t>
  </si>
  <si>
    <t>泰国</t>
  </si>
  <si>
    <t>格陵兰</t>
  </si>
  <si>
    <t>墨西哥</t>
  </si>
  <si>
    <t>意大利</t>
  </si>
  <si>
    <t>塞尔维亚</t>
  </si>
  <si>
    <t>菲律宾</t>
  </si>
  <si>
    <t>印度</t>
  </si>
  <si>
    <t>罗马尼亚</t>
  </si>
  <si>
    <t>斯洛伐克</t>
  </si>
  <si>
    <t>法国</t>
  </si>
  <si>
    <t>俄罗斯</t>
  </si>
  <si>
    <t>阿根廷</t>
  </si>
  <si>
    <t>白俄罗斯</t>
  </si>
  <si>
    <t>瑞典</t>
  </si>
  <si>
    <t>乌克兰</t>
  </si>
  <si>
    <t>哈萨克斯坦</t>
  </si>
  <si>
    <t>伊朗</t>
  </si>
  <si>
    <t>厄瓜多尔</t>
  </si>
  <si>
    <t>蒙古</t>
  </si>
  <si>
    <t>黎巴嫩</t>
  </si>
  <si>
    <t>比利时</t>
  </si>
  <si>
    <t>亚美尼亚</t>
  </si>
  <si>
    <t>摩尔多瓦</t>
  </si>
  <si>
    <t>缅甸</t>
  </si>
  <si>
    <t>孟加拉国</t>
  </si>
  <si>
    <t>斯里兰卡</t>
  </si>
  <si>
    <t>埃及</t>
  </si>
  <si>
    <t>突尼斯</t>
  </si>
  <si>
    <t>阿尔巴尼亚</t>
  </si>
  <si>
    <t>约旦</t>
  </si>
  <si>
    <t>巴拿马</t>
  </si>
  <si>
    <t>巴西</t>
  </si>
  <si>
    <t>摩洛哥</t>
  </si>
  <si>
    <t>阿尔及利亚</t>
  </si>
  <si>
    <t>洪都拉斯</t>
  </si>
  <si>
    <t>巴拉圭</t>
  </si>
  <si>
    <t>秘鲁</t>
  </si>
  <si>
    <t>印度尼西亚</t>
  </si>
  <si>
    <t>柬埔寨</t>
  </si>
  <si>
    <t>荷兰</t>
    <phoneticPr fontId="1" type="noConversion"/>
  </si>
  <si>
    <t>爱尔兰</t>
    <phoneticPr fontId="1" type="noConversion"/>
  </si>
  <si>
    <t>西班牙</t>
    <phoneticPr fontId="1" type="noConversion"/>
  </si>
  <si>
    <t>国家发展水平</t>
  </si>
  <si>
    <t>累计确诊人数</t>
    <phoneticPr fontId="1" type="noConversion"/>
  </si>
  <si>
    <t>总人数</t>
    <phoneticPr fontId="1" type="noConversion"/>
  </si>
  <si>
    <t>净移民数</t>
    <phoneticPr fontId="1" type="noConversion"/>
  </si>
  <si>
    <t>Government risk management efficiency</t>
    <phoneticPr fontId="1" type="noConversion"/>
  </si>
  <si>
    <t>Emergency preparedness</t>
    <phoneticPr fontId="1" type="noConversion"/>
  </si>
  <si>
    <t>Quality and Accessibility of Care Index</t>
    <phoneticPr fontId="1" type="noConversion"/>
  </si>
  <si>
    <t>Monitoring and diagnosis</t>
    <phoneticPr fontId="2" type="noConversion"/>
  </si>
  <si>
    <t>percentage of population of low age</t>
    <phoneticPr fontId="1" type="noConversion"/>
  </si>
  <si>
    <t>education level</t>
    <phoneticPr fontId="1" type="noConversion"/>
  </si>
  <si>
    <t>Infection</t>
    <phoneticPr fontId="2" type="noConversion"/>
  </si>
  <si>
    <t>immigrant population percentage</t>
    <phoneticPr fontId="1" type="noConversion"/>
  </si>
  <si>
    <t>Mass living level</t>
    <phoneticPr fontId="1" type="noConversion"/>
  </si>
  <si>
    <t>Population density</t>
    <phoneticPr fontId="2" type="noConversion"/>
  </si>
  <si>
    <t>阿拉伯联合酋长国</t>
    <phoneticPr fontId="1" type="noConversion"/>
  </si>
  <si>
    <t>保加利亚</t>
    <phoneticPr fontId="1" type="noConversion"/>
  </si>
  <si>
    <t>乌拉圭</t>
    <phoneticPr fontId="1" type="noConversion"/>
  </si>
  <si>
    <t>波斯尼亚和黑塞哥维那</t>
    <phoneticPr fontId="1" type="noConversion"/>
  </si>
  <si>
    <t>阿塞拜疆</t>
    <phoneticPr fontId="1" type="noConversion"/>
  </si>
  <si>
    <t>安道尔</t>
    <phoneticPr fontId="1" type="noConversion"/>
  </si>
  <si>
    <t>中国大陆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</si>
</sst>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_);[Red]\(0\)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sz val="11"/>
      <color rgb="FF000000"/>
      <name val="等线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>
      <alignment vertical="center"/>
    </xf>
  </cellStyleXfs>
  <cellXfs count="4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4" fillId="0" borderId="0" xfId="1">
      <alignment vertical="center"/>
    </xf>
    <xf numFmtId="0" fontId="3" fillId="0" borderId="0" xfId="1" applyFont="1">
      <alignment vertical="center"/>
    </xf>
    <xf numFmtId="0" fontId="0" fillId="3" borderId="0" xfId="0" applyFill="1" applyAlignment="1">
      <alignment vertical="center"/>
    </xf>
    <xf numFmtId="0" fontId="0" fillId="3" borderId="0" xfId="0" applyFill="1"/>
    <xf numFmtId="0" fontId="0" fillId="4" borderId="0" xfId="0" applyFill="1" applyAlignment="1">
      <alignment vertical="center"/>
    </xf>
    <xf numFmtId="0" fontId="0" fillId="4" borderId="0" xfId="0" applyFill="1"/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right"/>
    </xf>
    <xf numFmtId="0" fontId="0" fillId="3" borderId="1" xfId="0" applyFill="1" applyBorder="1"/>
    <xf numFmtId="0" fontId="3" fillId="3" borderId="1" xfId="1" applyFont="1" applyFill="1" applyBorder="1">
      <alignment vertical="center"/>
    </xf>
    <xf numFmtId="0" fontId="0" fillId="3" borderId="1" xfId="0" applyFill="1" applyBorder="1" applyAlignment="1">
      <alignment horizontal="center"/>
    </xf>
    <xf numFmtId="0" fontId="0" fillId="0" borderId="1" xfId="0" applyBorder="1"/>
    <xf numFmtId="0" fontId="4" fillId="0" borderId="1" xfId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6" fillId="5" borderId="1" xfId="0" applyFont="1" applyFill="1" applyBorder="1" applyAlignment="1">
      <alignment vertical="center"/>
    </xf>
    <xf numFmtId="0" fontId="6" fillId="0" borderId="1" xfId="0" applyFont="1" applyBorder="1"/>
    <xf numFmtId="0" fontId="6" fillId="0" borderId="3" xfId="0" applyFont="1" applyFill="1" applyBorder="1"/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right" vertical="center" wrapText="1"/>
    </xf>
    <xf numFmtId="0" fontId="0" fillId="2" borderId="0" xfId="0" applyFill="1" applyAlignment="1">
      <alignment wrapText="1"/>
    </xf>
    <xf numFmtId="0" fontId="0" fillId="2" borderId="1" xfId="0" applyFill="1" applyBorder="1" applyAlignment="1">
      <alignment horizontal="center" wrapText="1"/>
    </xf>
    <xf numFmtId="0" fontId="6" fillId="2" borderId="1" xfId="0" applyFont="1" applyFill="1" applyBorder="1" applyAlignment="1">
      <alignment vertical="center" wrapText="1"/>
    </xf>
    <xf numFmtId="0" fontId="4" fillId="2" borderId="1" xfId="1" applyFill="1" applyBorder="1" applyAlignment="1">
      <alignment horizontal="center" wrapText="1"/>
    </xf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4" fillId="0" borderId="1" xfId="1" applyFill="1" applyBorder="1" applyAlignment="1">
      <alignment horizontal="center"/>
    </xf>
    <xf numFmtId="0" fontId="0" fillId="0" borderId="1" xfId="0" applyFill="1" applyBorder="1" applyAlignment="1">
      <alignment horizontal="right"/>
    </xf>
    <xf numFmtId="0" fontId="6" fillId="0" borderId="1" xfId="0" applyFont="1" applyFill="1" applyBorder="1"/>
    <xf numFmtId="0" fontId="0" fillId="0" borderId="0" xfId="0" applyFill="1"/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177" fontId="0" fillId="0" borderId="1" xfId="0" applyNumberFormat="1" applyFill="1" applyBorder="1" applyAlignment="1">
      <alignment horizontal="right"/>
    </xf>
    <xf numFmtId="0" fontId="6" fillId="0" borderId="1" xfId="0" applyFont="1" applyFill="1" applyBorder="1" applyAlignment="1">
      <alignment vertical="center"/>
    </xf>
    <xf numFmtId="0" fontId="4" fillId="3" borderId="2" xfId="1" applyFill="1" applyBorder="1" applyAlignment="1">
      <alignment horizontal="center" wrapText="1"/>
    </xf>
    <xf numFmtId="0" fontId="0" fillId="3" borderId="1" xfId="0" applyFill="1" applyBorder="1" applyAlignment="1">
      <alignment vertical="top" wrapText="1"/>
    </xf>
    <xf numFmtId="176" fontId="4" fillId="3" borderId="2" xfId="1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5" fillId="3" borderId="2" xfId="1" applyFont="1" applyFill="1" applyBorder="1" applyAlignment="1">
      <alignment horizontal="center" vertical="center"/>
    </xf>
    <xf numFmtId="0" fontId="0" fillId="3" borderId="1" xfId="0" applyFill="1" applyBorder="1" applyAlignment="1">
      <alignment vertical="top"/>
    </xf>
    <xf numFmtId="0" fontId="0" fillId="3" borderId="0" xfId="0" applyFill="1" applyAlignment="1">
      <alignment horizontal="center"/>
    </xf>
    <xf numFmtId="0" fontId="0" fillId="3" borderId="0" xfId="0" applyFill="1" applyAlignment="1">
      <alignment wrapText="1"/>
    </xf>
    <xf numFmtId="0" fontId="0" fillId="2" borderId="0" xfId="0" applyFill="1" applyAlignment="1">
      <alignment horizontal="center"/>
    </xf>
  </cellXfs>
  <cellStyles count="2">
    <cellStyle name="常规" xfId="0" builtinId="0"/>
    <cellStyle name="常规 2" xfId="1" xr:uid="{C2820111-C542-4AA5-A450-9A1CE9FB3B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830580</xdr:colOff>
      <xdr:row>1</xdr:row>
      <xdr:rowOff>152400</xdr:rowOff>
    </xdr:from>
    <xdr:to>
      <xdr:col>3</xdr:col>
      <xdr:colOff>441960</xdr:colOff>
      <xdr:row>15</xdr:row>
      <xdr:rowOff>0</xdr:rowOff>
    </xdr:to>
    <xdr:cxnSp macro="">
      <xdr:nvCxnSpPr>
        <xdr:cNvPr id="3" name="直接箭头连接符 2">
          <a:extLst>
            <a:ext uri="{FF2B5EF4-FFF2-40B4-BE49-F238E27FC236}">
              <a16:creationId xmlns:a16="http://schemas.microsoft.com/office/drawing/2014/main" id="{6FBF46EA-EF33-4781-89E0-D63EA7E6A4E5}"/>
            </a:ext>
          </a:extLst>
        </xdr:cNvPr>
        <xdr:cNvCxnSpPr/>
      </xdr:nvCxnSpPr>
      <xdr:spPr>
        <a:xfrm flipH="1" flipV="1">
          <a:off x="2720340" y="327660"/>
          <a:ext cx="487680" cy="2301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202"/>
  <sheetViews>
    <sheetView tabSelected="1" zoomScale="85" zoomScaleNormal="85" workbookViewId="0">
      <pane ySplit="1" topLeftCell="A2" activePane="bottomLeft" state="frozen"/>
      <selection pane="bottomLeft" activeCell="I12" sqref="I12"/>
    </sheetView>
  </sheetViews>
  <sheetFormatPr defaultRowHeight="13.8" x14ac:dyDescent="0.25"/>
  <cols>
    <col min="1" max="1" width="23.77734375" bestFit="1" customWidth="1"/>
    <col min="2" max="2" width="12.5546875" style="2" customWidth="1"/>
    <col min="3" max="3" width="8.6640625" style="2"/>
    <col min="4" max="4" width="8.6640625"/>
    <col min="5" max="5" width="8.6640625" style="46"/>
    <col min="6" max="6" width="12.5546875" style="12" customWidth="1"/>
    <col min="7" max="7" width="11.21875" style="12" bestFit="1" customWidth="1"/>
    <col min="8" max="8" width="5.5546875" customWidth="1"/>
    <col min="9" max="9" width="7.44140625" style="19" customWidth="1"/>
    <col min="10" max="10" width="6.88671875" customWidth="1"/>
    <col min="11" max="11" width="9.5546875" bestFit="1" customWidth="1"/>
    <col min="13" max="13" width="6.109375" customWidth="1"/>
    <col min="14" max="14" width="7" customWidth="1"/>
    <col min="15" max="15" width="11.21875" customWidth="1"/>
    <col min="16" max="16" width="9.5546875" style="6" bestFit="1" customWidth="1"/>
    <col min="17" max="17" width="9.5546875" bestFit="1" customWidth="1"/>
  </cols>
  <sheetData>
    <row r="1" spans="1:17" s="26" customFormat="1" ht="64.2" customHeight="1" x14ac:dyDescent="0.25">
      <c r="A1" s="23" t="s">
        <v>0</v>
      </c>
      <c r="B1" s="24" t="s">
        <v>93</v>
      </c>
      <c r="C1" s="27" t="s">
        <v>7</v>
      </c>
      <c r="D1" s="29" t="s">
        <v>103</v>
      </c>
      <c r="E1" s="40" t="s">
        <v>13</v>
      </c>
      <c r="F1" s="41" t="s">
        <v>94</v>
      </c>
      <c r="G1" s="41" t="s">
        <v>95</v>
      </c>
      <c r="H1" s="26" t="s">
        <v>97</v>
      </c>
      <c r="I1" s="25" t="s">
        <v>98</v>
      </c>
      <c r="J1" s="27" t="s">
        <v>99</v>
      </c>
      <c r="K1" s="28" t="s">
        <v>102</v>
      </c>
      <c r="L1" s="28" t="s">
        <v>101</v>
      </c>
      <c r="M1" s="23" t="s">
        <v>106</v>
      </c>
      <c r="N1" s="23" t="s">
        <v>105</v>
      </c>
      <c r="O1" s="23" t="s">
        <v>100</v>
      </c>
      <c r="P1" s="47" t="s">
        <v>96</v>
      </c>
      <c r="Q1" s="26" t="s">
        <v>104</v>
      </c>
    </row>
    <row r="2" spans="1:17" s="35" customFormat="1" x14ac:dyDescent="0.25">
      <c r="A2" s="36" t="s">
        <v>1</v>
      </c>
      <c r="B2" s="37">
        <v>2</v>
      </c>
      <c r="C2" s="31">
        <v>3</v>
      </c>
      <c r="D2" s="32">
        <f>F2/G2</f>
        <v>6.2285531197301854E-2</v>
      </c>
      <c r="E2" s="42">
        <v>1</v>
      </c>
      <c r="F2" s="41">
        <v>3693532</v>
      </c>
      <c r="G2" s="41">
        <v>59300000</v>
      </c>
      <c r="H2" s="36">
        <v>116</v>
      </c>
      <c r="I2" s="38">
        <v>67</v>
      </c>
      <c r="J2" s="30">
        <v>50</v>
      </c>
      <c r="K2" s="39">
        <v>5</v>
      </c>
      <c r="L2" s="39">
        <v>29</v>
      </c>
      <c r="M2" s="36">
        <v>48.9</v>
      </c>
      <c r="N2" s="36">
        <v>0.50900000000000001</v>
      </c>
      <c r="O2" s="30">
        <v>48</v>
      </c>
      <c r="P2" s="6">
        <v>300000</v>
      </c>
      <c r="Q2" s="35">
        <f>P2/G2</f>
        <v>5.0590219224283303E-3</v>
      </c>
    </row>
    <row r="3" spans="1:17" s="35" customFormat="1" x14ac:dyDescent="0.25">
      <c r="A3" s="36" t="s">
        <v>2</v>
      </c>
      <c r="B3" s="37">
        <v>1</v>
      </c>
      <c r="C3" s="31">
        <v>3</v>
      </c>
      <c r="D3" s="32">
        <f t="shared" ref="D3:D64" si="0">F3/G3</f>
        <v>0.29063221726190475</v>
      </c>
      <c r="E3" s="42">
        <v>1</v>
      </c>
      <c r="F3" s="41">
        <v>19530485</v>
      </c>
      <c r="G3" s="41">
        <v>67200000</v>
      </c>
      <c r="H3" s="36">
        <v>102</v>
      </c>
      <c r="I3" s="38">
        <v>79</v>
      </c>
      <c r="J3" s="30">
        <v>90</v>
      </c>
      <c r="K3" s="39">
        <v>35</v>
      </c>
      <c r="L3" s="39">
        <v>18</v>
      </c>
      <c r="M3" s="36">
        <v>280.64</v>
      </c>
      <c r="N3" s="36">
        <v>4</v>
      </c>
      <c r="O3" s="30">
        <v>70</v>
      </c>
      <c r="P3" s="6">
        <v>900000</v>
      </c>
      <c r="Q3" s="35">
        <f t="shared" ref="Q3:Q64" si="1">P3/G3</f>
        <v>1.3392857142857142E-2</v>
      </c>
    </row>
    <row r="4" spans="1:17" s="35" customFormat="1" ht="13.2" customHeight="1" x14ac:dyDescent="0.25">
      <c r="A4" s="36" t="s">
        <v>3</v>
      </c>
      <c r="B4" s="37">
        <v>1</v>
      </c>
      <c r="C4" s="31">
        <v>2</v>
      </c>
      <c r="D4" s="32">
        <f t="shared" si="0"/>
        <v>0.20721729567307692</v>
      </c>
      <c r="E4" s="42">
        <v>1</v>
      </c>
      <c r="F4" s="41">
        <v>17240479</v>
      </c>
      <c r="G4" s="41">
        <v>83200000</v>
      </c>
      <c r="H4" s="36">
        <v>194</v>
      </c>
      <c r="I4" s="38">
        <v>79</v>
      </c>
      <c r="J4" s="30">
        <v>92</v>
      </c>
      <c r="K4" s="39">
        <v>24</v>
      </c>
      <c r="L4" s="39">
        <v>14</v>
      </c>
      <c r="M4" s="36">
        <v>240.4</v>
      </c>
      <c r="N4" s="36">
        <v>4.5999999999999996</v>
      </c>
      <c r="O4" s="30">
        <v>102</v>
      </c>
      <c r="P4" s="6">
        <v>1850000</v>
      </c>
      <c r="Q4" s="35">
        <f t="shared" si="1"/>
        <v>2.2235576923076924E-2</v>
      </c>
    </row>
    <row r="5" spans="1:17" s="35" customFormat="1" x14ac:dyDescent="0.25">
      <c r="A5" s="30" t="s">
        <v>14</v>
      </c>
      <c r="B5" s="31">
        <v>1</v>
      </c>
      <c r="C5" s="31">
        <v>3</v>
      </c>
      <c r="D5" s="32">
        <f t="shared" si="0"/>
        <v>0.35415484722527757</v>
      </c>
      <c r="E5" s="43">
        <v>1</v>
      </c>
      <c r="F5" s="41">
        <v>3058800</v>
      </c>
      <c r="G5" s="41">
        <v>8636900</v>
      </c>
      <c r="H5" s="30">
        <v>188</v>
      </c>
      <c r="I5" s="33">
        <v>95</v>
      </c>
      <c r="J5" s="30">
        <v>96</v>
      </c>
      <c r="K5" s="34">
        <v>29.47</v>
      </c>
      <c r="L5" s="34">
        <v>14.96</v>
      </c>
      <c r="M5" s="30">
        <v>219</v>
      </c>
      <c r="N5" s="30">
        <v>8.66</v>
      </c>
      <c r="O5" s="30">
        <v>131</v>
      </c>
      <c r="P5" s="6">
        <v>259999</v>
      </c>
      <c r="Q5" s="35">
        <f t="shared" si="1"/>
        <v>3.0103277796431589E-2</v>
      </c>
    </row>
    <row r="6" spans="1:17" x14ac:dyDescent="0.25">
      <c r="A6" s="15" t="s">
        <v>15</v>
      </c>
      <c r="B6" s="17">
        <v>1</v>
      </c>
      <c r="C6" s="17">
        <v>3</v>
      </c>
      <c r="D6" s="16">
        <f t="shared" si="0"/>
        <v>0.40354609467391422</v>
      </c>
      <c r="E6" s="43">
        <v>2</v>
      </c>
      <c r="F6" s="41">
        <v>3719444</v>
      </c>
      <c r="G6" s="41">
        <v>9216900</v>
      </c>
      <c r="H6" s="15">
        <v>191</v>
      </c>
      <c r="I6" s="18">
        <v>113</v>
      </c>
      <c r="J6" s="15">
        <v>85</v>
      </c>
      <c r="K6" s="21">
        <v>35.01</v>
      </c>
      <c r="L6" s="21">
        <v>27.83</v>
      </c>
      <c r="M6" s="15">
        <v>400</v>
      </c>
      <c r="N6" s="15">
        <v>4.3600000000000003</v>
      </c>
      <c r="O6" s="15">
        <v>143</v>
      </c>
      <c r="P6" s="6">
        <v>50002</v>
      </c>
      <c r="Q6" s="35">
        <f t="shared" si="1"/>
        <v>5.425034447590839E-3</v>
      </c>
    </row>
    <row r="7" spans="1:17" s="12" customFormat="1" x14ac:dyDescent="0.25">
      <c r="A7" s="9" t="s">
        <v>16</v>
      </c>
      <c r="B7" s="10">
        <v>1</v>
      </c>
      <c r="C7" s="17">
        <v>3</v>
      </c>
      <c r="D7" s="16">
        <f t="shared" si="0"/>
        <v>0.16481333333333334</v>
      </c>
      <c r="E7" s="42">
        <v>2</v>
      </c>
      <c r="F7" s="41">
        <v>939436</v>
      </c>
      <c r="G7" s="41">
        <v>5700000</v>
      </c>
      <c r="H7" s="9">
        <v>176</v>
      </c>
      <c r="I7" s="11">
        <v>91</v>
      </c>
      <c r="J7" s="12">
        <v>91</v>
      </c>
      <c r="K7" s="20">
        <v>37.61</v>
      </c>
      <c r="L7" s="20">
        <v>12.3</v>
      </c>
      <c r="M7" s="9">
        <v>8357</v>
      </c>
      <c r="N7" s="9">
        <v>5.98</v>
      </c>
      <c r="O7" s="12">
        <v>145</v>
      </c>
      <c r="P7" s="6">
        <v>298448</v>
      </c>
      <c r="Q7">
        <f t="shared" si="1"/>
        <v>5.2359298245614035E-2</v>
      </c>
    </row>
    <row r="8" spans="1:17" s="12" customFormat="1" ht="18.600000000000001" customHeight="1" x14ac:dyDescent="0.25">
      <c r="A8" s="9" t="s">
        <v>17</v>
      </c>
      <c r="B8" s="10">
        <v>1</v>
      </c>
      <c r="C8" s="17">
        <v>1</v>
      </c>
      <c r="D8" s="16">
        <f t="shared" si="0"/>
        <v>4.5878793650793649E-2</v>
      </c>
      <c r="E8" s="42">
        <v>1</v>
      </c>
      <c r="F8" s="41">
        <v>5780728</v>
      </c>
      <c r="G8" s="41">
        <v>126000000</v>
      </c>
      <c r="H8" s="9">
        <v>184</v>
      </c>
      <c r="I8" s="11">
        <v>91</v>
      </c>
      <c r="J8" s="12">
        <v>94</v>
      </c>
      <c r="K8" s="20">
        <v>30.59</v>
      </c>
      <c r="L8" s="20">
        <v>12.45</v>
      </c>
      <c r="M8" s="9">
        <v>347</v>
      </c>
      <c r="N8" s="9">
        <v>4</v>
      </c>
      <c r="O8" s="12">
        <v>142</v>
      </c>
      <c r="P8" s="6">
        <v>250000</v>
      </c>
      <c r="Q8">
        <f t="shared" si="1"/>
        <v>1.984126984126984E-3</v>
      </c>
    </row>
    <row r="9" spans="1:17" s="12" customFormat="1" ht="13.8" customHeight="1" x14ac:dyDescent="0.25">
      <c r="A9" s="13" t="s">
        <v>18</v>
      </c>
      <c r="B9" s="14">
        <v>1</v>
      </c>
      <c r="C9" s="17">
        <v>1</v>
      </c>
      <c r="D9" s="16">
        <f t="shared" si="0"/>
        <v>0.35369028394563318</v>
      </c>
      <c r="E9" s="44">
        <v>1</v>
      </c>
      <c r="F9" s="41">
        <v>3153927</v>
      </c>
      <c r="G9" s="41">
        <v>8917200</v>
      </c>
      <c r="H9" s="12">
        <v>188</v>
      </c>
      <c r="I9" s="11">
        <v>110</v>
      </c>
      <c r="J9" s="12">
        <v>94</v>
      </c>
      <c r="K9" s="20">
        <v>15.36</v>
      </c>
      <c r="L9" s="20">
        <v>14.41</v>
      </c>
      <c r="M9" s="9">
        <v>109</v>
      </c>
      <c r="N9" s="9">
        <v>4.8099999999999996</v>
      </c>
      <c r="O9" s="12">
        <v>122</v>
      </c>
      <c r="P9" s="6">
        <v>99999</v>
      </c>
      <c r="Q9">
        <f t="shared" si="1"/>
        <v>1.1214170367379895E-2</v>
      </c>
    </row>
    <row r="10" spans="1:17" s="35" customFormat="1" x14ac:dyDescent="0.25">
      <c r="A10" s="36" t="s">
        <v>113</v>
      </c>
      <c r="B10" s="37">
        <v>2</v>
      </c>
      <c r="C10" s="31">
        <v>1</v>
      </c>
      <c r="D10" s="32">
        <f t="shared" si="0"/>
        <v>2.8142887473460719E-4</v>
      </c>
      <c r="E10" s="42">
        <v>2</v>
      </c>
      <c r="F10" s="41">
        <v>397659</v>
      </c>
      <c r="G10" s="41">
        <v>1413000000</v>
      </c>
      <c r="H10" s="36">
        <v>172</v>
      </c>
      <c r="I10" s="38">
        <v>139</v>
      </c>
      <c r="J10" s="30">
        <v>78</v>
      </c>
      <c r="K10" s="39">
        <v>8</v>
      </c>
      <c r="L10" s="39">
        <v>18</v>
      </c>
      <c r="M10" s="36">
        <v>148</v>
      </c>
      <c r="N10" s="36">
        <v>1.1399999999999999</v>
      </c>
      <c r="O10" s="30">
        <v>132</v>
      </c>
      <c r="P10" s="6">
        <v>-1741996</v>
      </c>
      <c r="Q10" s="35">
        <f t="shared" si="1"/>
        <v>-1.2328351026185422E-3</v>
      </c>
    </row>
    <row r="11" spans="1:17" s="35" customFormat="1" x14ac:dyDescent="0.25">
      <c r="A11" s="30" t="s">
        <v>19</v>
      </c>
      <c r="B11" s="31">
        <v>1</v>
      </c>
      <c r="C11" s="31">
        <v>2</v>
      </c>
      <c r="D11" s="32">
        <f t="shared" si="0"/>
        <v>0.13994031128404669</v>
      </c>
      <c r="E11" s="43">
        <v>2</v>
      </c>
      <c r="F11" s="41">
        <v>3596466</v>
      </c>
      <c r="G11" s="41">
        <v>25700000</v>
      </c>
      <c r="H11" s="30">
        <v>181</v>
      </c>
      <c r="I11" s="33">
        <v>118</v>
      </c>
      <c r="J11" s="30">
        <v>96</v>
      </c>
      <c r="K11" s="34">
        <v>34.299999999999997</v>
      </c>
      <c r="L11" s="34">
        <v>19.29</v>
      </c>
      <c r="M11" s="30">
        <v>3.3</v>
      </c>
      <c r="N11" s="30">
        <v>5.18</v>
      </c>
      <c r="O11" s="30">
        <v>116</v>
      </c>
      <c r="P11" s="6">
        <v>791229</v>
      </c>
      <c r="Q11" s="35">
        <f t="shared" si="1"/>
        <v>3.0787120622568092E-2</v>
      </c>
    </row>
    <row r="12" spans="1:17" s="35" customFormat="1" x14ac:dyDescent="0.25">
      <c r="A12" s="30" t="s">
        <v>20</v>
      </c>
      <c r="B12" s="31">
        <v>1</v>
      </c>
      <c r="C12" s="31">
        <v>1</v>
      </c>
      <c r="D12" s="32">
        <f t="shared" si="0"/>
        <v>7.1221013708868477E-2</v>
      </c>
      <c r="E12" s="43">
        <v>2</v>
      </c>
      <c r="F12" s="41">
        <v>362109</v>
      </c>
      <c r="G12" s="41">
        <v>5084300</v>
      </c>
      <c r="H12" s="30">
        <v>158</v>
      </c>
      <c r="I12" s="33">
        <v>108</v>
      </c>
      <c r="J12" s="30">
        <v>92</v>
      </c>
      <c r="K12" s="34">
        <v>32.82</v>
      </c>
      <c r="L12" s="34">
        <v>19.43</v>
      </c>
      <c r="M12" s="30">
        <v>18.3</v>
      </c>
      <c r="N12" s="30">
        <v>4.18</v>
      </c>
      <c r="O12" s="30">
        <v>128</v>
      </c>
      <c r="P12" s="6">
        <v>74403</v>
      </c>
      <c r="Q12" s="35">
        <f t="shared" si="1"/>
        <v>1.4633872902857817E-2</v>
      </c>
    </row>
    <row r="13" spans="1:17" s="35" customFormat="1" x14ac:dyDescent="0.25">
      <c r="A13" s="30" t="s">
        <v>21</v>
      </c>
      <c r="B13" s="31">
        <v>1</v>
      </c>
      <c r="C13" s="31">
        <v>2</v>
      </c>
      <c r="D13" s="32">
        <f t="shared" si="0"/>
        <v>0.12608563461538461</v>
      </c>
      <c r="E13" s="43">
        <v>2</v>
      </c>
      <c r="F13" s="41">
        <v>6556453</v>
      </c>
      <c r="G13" s="41">
        <v>52000000</v>
      </c>
      <c r="H13" s="30">
        <v>176</v>
      </c>
      <c r="I13" s="33">
        <v>111</v>
      </c>
      <c r="J13" s="30">
        <v>90</v>
      </c>
      <c r="K13" s="34">
        <v>19.62</v>
      </c>
      <c r="L13" s="34">
        <v>12.54</v>
      </c>
      <c r="M13" s="30">
        <v>527.29999999999995</v>
      </c>
      <c r="N13" s="30">
        <v>3.15</v>
      </c>
      <c r="O13" s="30">
        <v>133</v>
      </c>
      <c r="P13" s="6">
        <v>200000</v>
      </c>
      <c r="Q13" s="35">
        <f t="shared" si="1"/>
        <v>3.8461538461538464E-3</v>
      </c>
    </row>
    <row r="14" spans="1:17" s="35" customFormat="1" x14ac:dyDescent="0.25">
      <c r="A14" s="30" t="s">
        <v>107</v>
      </c>
      <c r="B14" s="31">
        <v>2</v>
      </c>
      <c r="C14" s="31">
        <v>2</v>
      </c>
      <c r="D14" s="32">
        <f t="shared" si="0"/>
        <v>8.8416636391038528E-2</v>
      </c>
      <c r="E14" s="43">
        <v>2</v>
      </c>
      <c r="F14" s="41">
        <v>851537</v>
      </c>
      <c r="G14" s="41">
        <v>9630959</v>
      </c>
      <c r="H14" s="30">
        <v>143</v>
      </c>
      <c r="I14" s="33">
        <v>121</v>
      </c>
      <c r="J14" s="30">
        <v>70</v>
      </c>
      <c r="K14" s="34">
        <v>19.62</v>
      </c>
      <c r="L14" s="34">
        <v>14.9</v>
      </c>
      <c r="M14" s="30">
        <v>118.3</v>
      </c>
      <c r="N14" s="30">
        <v>4.3099999999999996</v>
      </c>
      <c r="O14" s="30">
        <v>143</v>
      </c>
      <c r="P14" s="6">
        <v>301000</v>
      </c>
      <c r="Q14" s="35">
        <f t="shared" si="1"/>
        <v>3.1253377778889931E-2</v>
      </c>
    </row>
    <row r="15" spans="1:17" s="35" customFormat="1" x14ac:dyDescent="0.25">
      <c r="A15" s="36" t="s">
        <v>4</v>
      </c>
      <c r="B15" s="37">
        <v>1</v>
      </c>
      <c r="C15" s="31">
        <v>3</v>
      </c>
      <c r="D15" s="32">
        <f t="shared" si="0"/>
        <v>8.8438289473684206E-2</v>
      </c>
      <c r="E15" s="42">
        <v>2</v>
      </c>
      <c r="F15" s="41">
        <v>3360655</v>
      </c>
      <c r="G15" s="41">
        <v>38000000</v>
      </c>
      <c r="H15" s="36">
        <v>172</v>
      </c>
      <c r="I15" s="38">
        <v>100</v>
      </c>
      <c r="J15" s="30">
        <v>94</v>
      </c>
      <c r="K15" s="39">
        <v>45</v>
      </c>
      <c r="L15" s="39">
        <v>16</v>
      </c>
      <c r="M15" s="36">
        <v>4.2</v>
      </c>
      <c r="N15" s="36">
        <v>4.32</v>
      </c>
      <c r="O15" s="30">
        <v>133</v>
      </c>
      <c r="P15" s="6">
        <v>1210159</v>
      </c>
      <c r="Q15" s="35">
        <f t="shared" si="1"/>
        <v>3.184628947368421E-2</v>
      </c>
    </row>
    <row r="16" spans="1:17" x14ac:dyDescent="0.25">
      <c r="A16" s="15" t="s">
        <v>22</v>
      </c>
      <c r="B16" s="17">
        <v>1</v>
      </c>
      <c r="C16" s="17">
        <v>3</v>
      </c>
      <c r="D16" s="16">
        <f t="shared" si="0"/>
        <v>0.25130272330142206</v>
      </c>
      <c r="E16" s="43">
        <v>2</v>
      </c>
      <c r="F16" s="41">
        <v>1351883</v>
      </c>
      <c r="G16" s="41">
        <v>5379500</v>
      </c>
      <c r="H16" s="15">
        <v>181</v>
      </c>
      <c r="I16" s="18">
        <v>79</v>
      </c>
      <c r="J16" s="15">
        <v>97</v>
      </c>
      <c r="K16" s="21">
        <v>26.31</v>
      </c>
      <c r="L16" s="21">
        <v>17.260000000000002</v>
      </c>
      <c r="M16" s="15">
        <v>14.8</v>
      </c>
      <c r="N16" s="15">
        <v>6.73</v>
      </c>
      <c r="O16" s="15">
        <v>122</v>
      </c>
      <c r="P16" s="6">
        <v>140000</v>
      </c>
      <c r="Q16">
        <f t="shared" si="1"/>
        <v>2.6024723487312947E-2</v>
      </c>
    </row>
    <row r="17" spans="1:17" x14ac:dyDescent="0.25">
      <c r="A17" s="15" t="s">
        <v>23</v>
      </c>
      <c r="B17" s="17">
        <v>1</v>
      </c>
      <c r="C17" s="17">
        <v>3</v>
      </c>
      <c r="D17" s="16">
        <f t="shared" si="0"/>
        <v>0.48177967554961071</v>
      </c>
      <c r="E17" s="43">
        <v>2</v>
      </c>
      <c r="F17" s="41">
        <v>2809450</v>
      </c>
      <c r="G17" s="41">
        <v>5831400</v>
      </c>
      <c r="H17" s="15">
        <v>153</v>
      </c>
      <c r="I17" s="18">
        <v>79</v>
      </c>
      <c r="J17" s="15">
        <v>92</v>
      </c>
      <c r="K17" s="21">
        <v>24.81</v>
      </c>
      <c r="L17" s="21">
        <v>16.28</v>
      </c>
      <c r="M17" s="15">
        <v>136.5</v>
      </c>
      <c r="N17" s="15">
        <v>6.09</v>
      </c>
      <c r="O17" s="15">
        <v>129</v>
      </c>
      <c r="P17" s="6">
        <v>75998</v>
      </c>
      <c r="Q17">
        <f t="shared" si="1"/>
        <v>1.3032547930171142E-2</v>
      </c>
    </row>
    <row r="18" spans="1:17" x14ac:dyDescent="0.25">
      <c r="A18" s="15" t="s">
        <v>24</v>
      </c>
      <c r="B18" s="17">
        <v>1</v>
      </c>
      <c r="C18" s="17">
        <v>2</v>
      </c>
      <c r="D18" s="16">
        <f t="shared" si="0"/>
        <v>2.8247551530679232E-4</v>
      </c>
      <c r="E18" s="43">
        <v>2</v>
      </c>
      <c r="F18" s="41">
        <v>6693</v>
      </c>
      <c r="G18" s="41">
        <v>23694089</v>
      </c>
      <c r="H18" s="15">
        <v>174</v>
      </c>
      <c r="I18" s="18">
        <v>111</v>
      </c>
      <c r="J18" s="15">
        <v>85</v>
      </c>
      <c r="K18" s="21">
        <v>11.96</v>
      </c>
      <c r="L18" s="21">
        <v>24.7</v>
      </c>
      <c r="M18" s="15">
        <v>650.91999999999996</v>
      </c>
      <c r="N18" s="15">
        <v>4.84</v>
      </c>
      <c r="O18" s="15">
        <v>126</v>
      </c>
      <c r="P18" s="6">
        <v>1200000</v>
      </c>
      <c r="Q18">
        <f t="shared" si="1"/>
        <v>5.0645542860921981E-2</v>
      </c>
    </row>
    <row r="19" spans="1:17" x14ac:dyDescent="0.25">
      <c r="A19" s="15" t="s">
        <v>25</v>
      </c>
      <c r="B19" s="17">
        <v>2</v>
      </c>
      <c r="C19" s="17">
        <v>3</v>
      </c>
      <c r="D19" s="16">
        <f t="shared" si="0"/>
        <v>2.13934E-2</v>
      </c>
      <c r="E19" s="43">
        <v>2</v>
      </c>
      <c r="F19" s="41">
        <v>748769</v>
      </c>
      <c r="G19" s="41">
        <v>35000000</v>
      </c>
      <c r="H19" s="15">
        <v>143</v>
      </c>
      <c r="I19" s="18">
        <v>111</v>
      </c>
      <c r="J19" s="15">
        <v>77</v>
      </c>
      <c r="K19" s="21">
        <v>17.18</v>
      </c>
      <c r="L19" s="21">
        <v>14.41</v>
      </c>
      <c r="M19" s="15">
        <v>16.2</v>
      </c>
      <c r="N19" s="15">
        <v>2</v>
      </c>
      <c r="O19" s="15">
        <v>121</v>
      </c>
      <c r="P19" s="6">
        <v>674895</v>
      </c>
      <c r="Q19">
        <f t="shared" si="1"/>
        <v>1.9282714285714285E-2</v>
      </c>
    </row>
    <row r="20" spans="1:17" x14ac:dyDescent="0.25">
      <c r="A20" s="15" t="s">
        <v>26</v>
      </c>
      <c r="B20" s="17">
        <v>1</v>
      </c>
      <c r="C20" s="17">
        <v>3</v>
      </c>
      <c r="D20" s="16">
        <f t="shared" si="0"/>
        <v>0.18609222753287247</v>
      </c>
      <c r="E20" s="43">
        <v>2</v>
      </c>
      <c r="F20" s="45">
        <v>1814362</v>
      </c>
      <c r="G20" s="45">
        <v>9749800</v>
      </c>
      <c r="H20" s="15">
        <v>146</v>
      </c>
      <c r="I20" s="18">
        <v>120</v>
      </c>
      <c r="J20" s="15">
        <v>82</v>
      </c>
      <c r="K20" s="21">
        <v>25.79</v>
      </c>
      <c r="L20" s="21">
        <v>15.7</v>
      </c>
      <c r="M20" s="15">
        <v>106.7</v>
      </c>
      <c r="N20" s="15">
        <v>1.59</v>
      </c>
      <c r="O20" s="15">
        <v>122</v>
      </c>
      <c r="P20" s="6">
        <v>29999</v>
      </c>
      <c r="Q20">
        <f t="shared" si="1"/>
        <v>3.0768836283821205E-3</v>
      </c>
    </row>
    <row r="21" spans="1:17" x14ac:dyDescent="0.25">
      <c r="A21" s="15" t="s">
        <v>90</v>
      </c>
      <c r="B21" s="17">
        <v>1</v>
      </c>
      <c r="C21" s="17">
        <v>3</v>
      </c>
      <c r="D21" s="16">
        <f t="shared" si="0"/>
        <v>0.42165782352941178</v>
      </c>
      <c r="E21" s="43">
        <v>1</v>
      </c>
      <c r="F21" s="45">
        <v>7168183</v>
      </c>
      <c r="G21" s="45">
        <v>17000000</v>
      </c>
      <c r="H21" s="15">
        <v>158</v>
      </c>
      <c r="I21" s="18">
        <v>74</v>
      </c>
      <c r="J21" s="15">
        <v>96</v>
      </c>
      <c r="K21" s="21">
        <v>5.74</v>
      </c>
      <c r="L21" s="21">
        <v>23.19</v>
      </c>
      <c r="M21" s="15">
        <v>508.2</v>
      </c>
      <c r="N21" s="15">
        <v>5.23</v>
      </c>
      <c r="O21" s="15">
        <v>127</v>
      </c>
      <c r="P21" s="6">
        <v>80000</v>
      </c>
      <c r="Q21">
        <f t="shared" si="1"/>
        <v>4.7058823529411761E-3</v>
      </c>
    </row>
    <row r="22" spans="1:17" x14ac:dyDescent="0.25">
      <c r="A22" s="15" t="s">
        <v>27</v>
      </c>
      <c r="B22" s="17">
        <v>2</v>
      </c>
      <c r="C22" s="17">
        <v>2</v>
      </c>
      <c r="D22" s="16">
        <f t="shared" si="0"/>
        <v>6.3016989690721656E-2</v>
      </c>
      <c r="E22" s="43">
        <v>1</v>
      </c>
      <c r="F22" s="41">
        <v>6112648</v>
      </c>
      <c r="G22" s="41">
        <v>97000000</v>
      </c>
      <c r="H22" s="15">
        <v>149</v>
      </c>
      <c r="I22" s="18">
        <v>101</v>
      </c>
      <c r="J22" s="15">
        <v>60</v>
      </c>
      <c r="K22" s="21">
        <v>7.12</v>
      </c>
      <c r="L22" s="21">
        <v>21.46</v>
      </c>
      <c r="M22" s="15">
        <v>313.89999999999998</v>
      </c>
      <c r="N22" s="15">
        <v>0.28000000000000003</v>
      </c>
      <c r="O22" s="15">
        <v>124</v>
      </c>
      <c r="P22" s="6">
        <v>-200000</v>
      </c>
      <c r="Q22">
        <f t="shared" si="1"/>
        <v>-2.0618556701030928E-3</v>
      </c>
    </row>
    <row r="23" spans="1:17" x14ac:dyDescent="0.25">
      <c r="A23" s="15" t="s">
        <v>28</v>
      </c>
      <c r="B23" s="17">
        <v>2</v>
      </c>
      <c r="C23" s="17">
        <v>2</v>
      </c>
      <c r="D23" s="16">
        <f t="shared" si="0"/>
        <v>0.14645740645342575</v>
      </c>
      <c r="E23" s="43">
        <v>2</v>
      </c>
      <c r="F23" s="41">
        <v>625461</v>
      </c>
      <c r="G23" s="41">
        <v>4270600</v>
      </c>
      <c r="H23" s="15">
        <v>135</v>
      </c>
      <c r="I23" s="18">
        <v>110</v>
      </c>
      <c r="J23" s="15">
        <v>81</v>
      </c>
      <c r="K23" s="21">
        <v>30.33</v>
      </c>
      <c r="L23" s="21">
        <v>19.420000000000002</v>
      </c>
      <c r="M23" s="15">
        <v>239.7</v>
      </c>
      <c r="N23" s="15">
        <v>3.2</v>
      </c>
      <c r="O23" s="15">
        <v>112</v>
      </c>
      <c r="P23" s="6">
        <v>100000</v>
      </c>
      <c r="Q23">
        <f t="shared" si="1"/>
        <v>2.341591345478387E-2</v>
      </c>
    </row>
    <row r="24" spans="1:17" x14ac:dyDescent="0.25">
      <c r="A24" s="15" t="s">
        <v>29</v>
      </c>
      <c r="B24" s="17">
        <v>1</v>
      </c>
      <c r="C24" s="17">
        <v>3</v>
      </c>
      <c r="D24" s="16">
        <f t="shared" si="0"/>
        <v>0.43267740174672487</v>
      </c>
      <c r="E24" s="43">
        <v>1</v>
      </c>
      <c r="F24" s="41">
        <v>158533</v>
      </c>
      <c r="G24" s="41">
        <v>366400</v>
      </c>
      <c r="H24" s="15">
        <v>140</v>
      </c>
      <c r="I24" s="18">
        <v>66</v>
      </c>
      <c r="J24" s="15">
        <v>97</v>
      </c>
      <c r="K24" s="21">
        <v>8.3000000000000007</v>
      </c>
      <c r="L24" s="21">
        <v>18.28</v>
      </c>
      <c r="M24" s="15">
        <v>3.4</v>
      </c>
      <c r="N24" s="15">
        <v>5.93</v>
      </c>
      <c r="O24" s="15">
        <v>104</v>
      </c>
      <c r="P24" s="6">
        <v>1900</v>
      </c>
      <c r="Q24">
        <f t="shared" si="1"/>
        <v>5.185589519650655E-3</v>
      </c>
    </row>
    <row r="25" spans="1:17" x14ac:dyDescent="0.25">
      <c r="A25" s="15" t="s">
        <v>30</v>
      </c>
      <c r="B25" s="17">
        <v>2</v>
      </c>
      <c r="C25" s="17">
        <v>2</v>
      </c>
      <c r="D25" s="16">
        <f t="shared" si="0"/>
        <v>0.31581746591443349</v>
      </c>
      <c r="E25" s="43">
        <v>2</v>
      </c>
      <c r="F25" s="41">
        <v>537395</v>
      </c>
      <c r="G25" s="41">
        <v>1701600</v>
      </c>
      <c r="H25" s="15">
        <v>127</v>
      </c>
      <c r="I25" s="18">
        <v>102</v>
      </c>
      <c r="J25" s="15">
        <v>72</v>
      </c>
      <c r="K25" s="21">
        <v>27.31</v>
      </c>
      <c r="L25" s="21">
        <v>15.87</v>
      </c>
      <c r="M25" s="15">
        <v>2238.9</v>
      </c>
      <c r="N25" s="15">
        <v>2.35</v>
      </c>
      <c r="O25" s="15">
        <v>92</v>
      </c>
      <c r="P25" s="6">
        <v>239000</v>
      </c>
      <c r="Q25">
        <f t="shared" si="1"/>
        <v>0.14045604137282558</v>
      </c>
    </row>
    <row r="26" spans="1:17" x14ac:dyDescent="0.25">
      <c r="A26" s="15" t="s">
        <v>31</v>
      </c>
      <c r="B26" s="17">
        <v>1</v>
      </c>
      <c r="C26" s="17">
        <v>3</v>
      </c>
      <c r="D26" s="16">
        <f t="shared" si="0"/>
        <v>0.13276113331043088</v>
      </c>
      <c r="E26" s="43">
        <v>2</v>
      </c>
      <c r="F26" s="41">
        <v>734262</v>
      </c>
      <c r="G26" s="41">
        <v>5530700</v>
      </c>
      <c r="H26" s="15">
        <v>140</v>
      </c>
      <c r="I26" s="18">
        <v>68</v>
      </c>
      <c r="J26" s="15">
        <v>96</v>
      </c>
      <c r="K26" s="21">
        <v>28.19</v>
      </c>
      <c r="L26" s="21">
        <v>15.56</v>
      </c>
      <c r="M26" s="15">
        <v>18</v>
      </c>
      <c r="N26" s="15">
        <v>4.9000000000000004</v>
      </c>
      <c r="O26" s="15">
        <v>93</v>
      </c>
      <c r="P26" s="6">
        <v>70000</v>
      </c>
      <c r="Q26">
        <f t="shared" si="1"/>
        <v>1.2656625743576762E-2</v>
      </c>
    </row>
    <row r="27" spans="1:17" x14ac:dyDescent="0.25">
      <c r="A27" s="15" t="s">
        <v>32</v>
      </c>
      <c r="B27" s="17">
        <v>1</v>
      </c>
      <c r="C27" s="17">
        <v>1</v>
      </c>
      <c r="D27" s="16">
        <f t="shared" si="0"/>
        <v>0.30359639411671674</v>
      </c>
      <c r="E27" s="43">
        <v>1</v>
      </c>
      <c r="F27" s="41">
        <v>191964</v>
      </c>
      <c r="G27" s="41">
        <v>632300</v>
      </c>
      <c r="H27" s="15">
        <v>134</v>
      </c>
      <c r="I27" s="18">
        <v>67</v>
      </c>
      <c r="J27" s="15">
        <v>96</v>
      </c>
      <c r="K27" s="21">
        <v>16.440000000000001</v>
      </c>
      <c r="L27" s="21">
        <v>13.64</v>
      </c>
      <c r="M27" s="15">
        <v>241.7</v>
      </c>
      <c r="N27" s="15">
        <v>11.59</v>
      </c>
      <c r="O27" s="15">
        <v>99</v>
      </c>
      <c r="P27" s="6">
        <v>25001</v>
      </c>
      <c r="Q27">
        <f t="shared" si="1"/>
        <v>3.9539775423058678E-2</v>
      </c>
    </row>
    <row r="28" spans="1:17" x14ac:dyDescent="0.25">
      <c r="A28" s="15" t="s">
        <v>33</v>
      </c>
      <c r="B28" s="17">
        <v>2</v>
      </c>
      <c r="C28" s="17">
        <v>1</v>
      </c>
      <c r="D28" s="16">
        <f t="shared" si="0"/>
        <v>0.12465690187775502</v>
      </c>
      <c r="E28" s="43">
        <v>2</v>
      </c>
      <c r="F28" s="41">
        <v>359149</v>
      </c>
      <c r="G28" s="41">
        <v>2881100</v>
      </c>
      <c r="H28" s="15">
        <v>149</v>
      </c>
      <c r="I28" s="18">
        <v>85</v>
      </c>
      <c r="J28" s="15">
        <v>82</v>
      </c>
      <c r="K28" s="21">
        <v>18.98</v>
      </c>
      <c r="L28" s="21">
        <v>15.22</v>
      </c>
      <c r="M28" s="15">
        <v>248.2</v>
      </c>
      <c r="N28" s="15">
        <v>5.08</v>
      </c>
      <c r="O28" s="15">
        <v>92</v>
      </c>
      <c r="P28" s="6">
        <v>200000</v>
      </c>
      <c r="Q28">
        <f t="shared" si="1"/>
        <v>6.9417930651487283E-2</v>
      </c>
    </row>
    <row r="29" spans="1:17" x14ac:dyDescent="0.25">
      <c r="A29" s="15" t="s">
        <v>34</v>
      </c>
      <c r="B29" s="17">
        <v>2</v>
      </c>
      <c r="C29" s="17">
        <v>1</v>
      </c>
      <c r="D29" s="16">
        <f t="shared" si="0"/>
        <v>0.15312334210526315</v>
      </c>
      <c r="E29" s="43">
        <v>1</v>
      </c>
      <c r="F29" s="41">
        <v>5818687</v>
      </c>
      <c r="G29" s="41">
        <v>38000000</v>
      </c>
      <c r="H29" s="15">
        <v>150</v>
      </c>
      <c r="I29" s="18">
        <v>64</v>
      </c>
      <c r="J29" s="15">
        <v>82</v>
      </c>
      <c r="K29" s="21">
        <v>25.44</v>
      </c>
      <c r="L29" s="21">
        <v>15.68</v>
      </c>
      <c r="M29" s="15">
        <v>123.6</v>
      </c>
      <c r="N29" s="15">
        <v>1.57</v>
      </c>
      <c r="O29" s="15">
        <v>102</v>
      </c>
      <c r="P29" s="6">
        <v>-50002</v>
      </c>
      <c r="Q29">
        <f t="shared" si="1"/>
        <v>-1.3158421052631578E-3</v>
      </c>
    </row>
    <row r="30" spans="1:17" x14ac:dyDescent="0.25">
      <c r="A30" s="15" t="s">
        <v>35</v>
      </c>
      <c r="B30" s="17">
        <v>1</v>
      </c>
      <c r="C30" s="17">
        <v>3</v>
      </c>
      <c r="D30" s="16">
        <f t="shared" si="0"/>
        <v>0.34420188213403941</v>
      </c>
      <c r="E30" s="43">
        <v>1</v>
      </c>
      <c r="F30" s="41">
        <v>961941</v>
      </c>
      <c r="G30" s="41">
        <v>2794700</v>
      </c>
      <c r="H30" s="15">
        <v>154</v>
      </c>
      <c r="I30" s="18">
        <v>64</v>
      </c>
      <c r="J30" s="15">
        <v>80</v>
      </c>
      <c r="K30" s="21">
        <v>18.600000000000001</v>
      </c>
      <c r="L30" s="21">
        <v>23.45</v>
      </c>
      <c r="M30" s="15">
        <v>43.4</v>
      </c>
      <c r="N30" s="15">
        <v>2</v>
      </c>
      <c r="O30" s="15">
        <v>93</v>
      </c>
      <c r="P30" s="6">
        <v>-25000</v>
      </c>
      <c r="Q30">
        <f t="shared" si="1"/>
        <v>-8.9455039896947797E-3</v>
      </c>
    </row>
    <row r="31" spans="1:17" x14ac:dyDescent="0.25">
      <c r="A31" s="15" t="s">
        <v>36</v>
      </c>
      <c r="B31" s="17">
        <v>2</v>
      </c>
      <c r="C31" s="17">
        <v>2</v>
      </c>
      <c r="D31" s="16">
        <f t="shared" si="0"/>
        <v>0.11948659374999999</v>
      </c>
      <c r="E31" s="43">
        <v>2</v>
      </c>
      <c r="F31" s="41">
        <v>3823571</v>
      </c>
      <c r="G31" s="41">
        <v>32000000</v>
      </c>
      <c r="H31" s="15">
        <v>129</v>
      </c>
      <c r="I31" s="18">
        <v>78</v>
      </c>
      <c r="J31" s="15">
        <v>68</v>
      </c>
      <c r="K31" s="21">
        <v>20.03</v>
      </c>
      <c r="L31" s="21">
        <v>16.43</v>
      </c>
      <c r="M31" s="15">
        <v>98.5</v>
      </c>
      <c r="N31" s="15">
        <v>1.04</v>
      </c>
      <c r="O31" s="15">
        <v>86</v>
      </c>
      <c r="P31" s="6">
        <v>249999</v>
      </c>
      <c r="Q31">
        <f t="shared" si="1"/>
        <v>7.81246875E-3</v>
      </c>
    </row>
    <row r="32" spans="1:17" x14ac:dyDescent="0.25">
      <c r="A32" s="15" t="s">
        <v>37</v>
      </c>
      <c r="B32" s="17">
        <v>1</v>
      </c>
      <c r="C32" s="17">
        <v>1</v>
      </c>
      <c r="D32" s="16">
        <f t="shared" si="0"/>
        <v>0.39039495135419405</v>
      </c>
      <c r="E32" s="43">
        <v>1</v>
      </c>
      <c r="F32" s="41">
        <v>742336</v>
      </c>
      <c r="G32" s="41">
        <v>1901500</v>
      </c>
      <c r="H32" s="15">
        <v>142</v>
      </c>
      <c r="I32" s="18">
        <v>65</v>
      </c>
      <c r="J32" s="15">
        <v>81</v>
      </c>
      <c r="K32" s="21">
        <v>19.86</v>
      </c>
      <c r="L32" s="21">
        <v>15.14</v>
      </c>
      <c r="M32" s="15">
        <v>30.3</v>
      </c>
      <c r="N32" s="15">
        <v>1.76</v>
      </c>
      <c r="O32" s="15">
        <v>101</v>
      </c>
      <c r="P32" s="6">
        <v>-50000</v>
      </c>
      <c r="Q32">
        <f t="shared" si="1"/>
        <v>-2.6295030239284777E-2</v>
      </c>
    </row>
    <row r="33" spans="1:17" x14ac:dyDescent="0.25">
      <c r="A33" s="15" t="s">
        <v>38</v>
      </c>
      <c r="B33" s="17">
        <v>1</v>
      </c>
      <c r="C33" s="17">
        <v>1</v>
      </c>
      <c r="D33" s="16">
        <f t="shared" si="0"/>
        <v>0.437036331603257</v>
      </c>
      <c r="E33" s="43">
        <v>1</v>
      </c>
      <c r="F33" s="41">
        <v>917820</v>
      </c>
      <c r="G33" s="41">
        <v>2100100</v>
      </c>
      <c r="H33" s="15">
        <v>148</v>
      </c>
      <c r="I33" s="18">
        <v>63</v>
      </c>
      <c r="J33" s="15">
        <v>91</v>
      </c>
      <c r="K33" s="21">
        <f>AVERAGE(K16:K32)</f>
        <v>19.552352941176469</v>
      </c>
      <c r="L33" s="21">
        <v>22.49</v>
      </c>
      <c r="M33" s="15">
        <v>103.2</v>
      </c>
      <c r="N33" s="15">
        <v>2.52</v>
      </c>
      <c r="O33" s="15">
        <v>94</v>
      </c>
      <c r="P33" s="6">
        <v>6002</v>
      </c>
      <c r="Q33">
        <f t="shared" si="1"/>
        <v>2.8579591448026284E-3</v>
      </c>
    </row>
    <row r="34" spans="1:17" x14ac:dyDescent="0.25">
      <c r="A34" s="15" t="s">
        <v>39</v>
      </c>
      <c r="B34" s="17">
        <v>2</v>
      </c>
      <c r="C34" s="17">
        <v>2</v>
      </c>
      <c r="D34" s="16">
        <f t="shared" si="0"/>
        <v>7.5678533662319358E-2</v>
      </c>
      <c r="E34" s="43">
        <v>2</v>
      </c>
      <c r="F34" s="41">
        <v>386460</v>
      </c>
      <c r="G34" s="41">
        <v>5106600</v>
      </c>
      <c r="H34" s="15">
        <v>127</v>
      </c>
      <c r="I34" s="18">
        <v>98</v>
      </c>
      <c r="J34" s="15">
        <v>76</v>
      </c>
      <c r="K34" s="21">
        <v>24.75</v>
      </c>
      <c r="L34" s="21">
        <v>13.66</v>
      </c>
      <c r="M34" s="15">
        <v>16.5</v>
      </c>
      <c r="N34" s="15">
        <v>1.55</v>
      </c>
      <c r="O34" s="15">
        <v>89</v>
      </c>
      <c r="P34" s="6">
        <v>605000</v>
      </c>
      <c r="Q34">
        <f t="shared" si="1"/>
        <v>0.11847413151607723</v>
      </c>
    </row>
    <row r="35" spans="1:17" x14ac:dyDescent="0.25">
      <c r="A35" s="15" t="s">
        <v>40</v>
      </c>
      <c r="B35" s="17">
        <v>1</v>
      </c>
      <c r="C35" s="17">
        <v>3</v>
      </c>
      <c r="D35" s="16">
        <f t="shared" si="0"/>
        <v>0.23960127272727272</v>
      </c>
      <c r="E35" s="43">
        <v>1</v>
      </c>
      <c r="F35" s="41">
        <v>2635614</v>
      </c>
      <c r="G35" s="41">
        <v>11000000</v>
      </c>
      <c r="H35" s="15">
        <v>139</v>
      </c>
      <c r="I35" s="18">
        <v>65</v>
      </c>
      <c r="J35" s="15">
        <v>90</v>
      </c>
      <c r="K35" s="21">
        <v>30.4</v>
      </c>
      <c r="L35" s="21">
        <v>16.5</v>
      </c>
      <c r="M35" s="15">
        <v>80.900000000000006</v>
      </c>
      <c r="N35" s="15">
        <v>1.77</v>
      </c>
      <c r="O35" s="15">
        <v>86</v>
      </c>
      <c r="P35" s="6">
        <v>49996</v>
      </c>
      <c r="Q35">
        <f t="shared" si="1"/>
        <v>4.5450909090909092E-3</v>
      </c>
    </row>
    <row r="36" spans="1:17" x14ac:dyDescent="0.25">
      <c r="A36" s="15" t="s">
        <v>41</v>
      </c>
      <c r="B36" s="17">
        <v>1</v>
      </c>
      <c r="C36" s="17">
        <v>2</v>
      </c>
      <c r="D36" s="16">
        <f t="shared" si="0"/>
        <v>0.399041394335512</v>
      </c>
      <c r="E36" s="43">
        <v>1</v>
      </c>
      <c r="F36" s="41">
        <v>531164</v>
      </c>
      <c r="G36" s="41">
        <v>1331100</v>
      </c>
      <c r="H36" s="15">
        <v>138</v>
      </c>
      <c r="I36" s="18">
        <v>63</v>
      </c>
      <c r="J36" s="15">
        <v>86</v>
      </c>
      <c r="K36" s="21">
        <v>17.579999999999998</v>
      </c>
      <c r="L36" s="21">
        <v>14.54</v>
      </c>
      <c r="M36" s="15">
        <v>31.3</v>
      </c>
      <c r="N36" s="15">
        <v>2.33</v>
      </c>
      <c r="O36" s="15">
        <v>94</v>
      </c>
      <c r="P36" s="6">
        <v>-4999</v>
      </c>
      <c r="Q36">
        <f t="shared" si="1"/>
        <v>-3.7555405303884007E-3</v>
      </c>
    </row>
    <row r="37" spans="1:17" x14ac:dyDescent="0.25">
      <c r="A37" s="15" t="s">
        <v>42</v>
      </c>
      <c r="B37" s="17">
        <v>2</v>
      </c>
      <c r="C37" s="17">
        <v>2</v>
      </c>
      <c r="D37" s="16">
        <f t="shared" si="0"/>
        <v>0.25772915419602893</v>
      </c>
      <c r="E37" s="43">
        <v>2</v>
      </c>
      <c r="F37" s="41">
        <v>1073386</v>
      </c>
      <c r="G37" s="41">
        <v>4164783</v>
      </c>
      <c r="H37" s="15">
        <v>142</v>
      </c>
      <c r="I37" s="18">
        <v>62</v>
      </c>
      <c r="J37" s="15">
        <v>87</v>
      </c>
      <c r="K37" s="21">
        <v>9.2799999999999994</v>
      </c>
      <c r="L37" s="21">
        <v>23.94</v>
      </c>
      <c r="M37" s="15">
        <v>73.400000000000006</v>
      </c>
      <c r="N37" s="15">
        <v>1.41</v>
      </c>
      <c r="O37" s="15">
        <v>94</v>
      </c>
      <c r="P37" s="6">
        <v>-40004</v>
      </c>
      <c r="Q37">
        <f t="shared" si="1"/>
        <v>-9.6053023650932122E-3</v>
      </c>
    </row>
    <row r="38" spans="1:17" x14ac:dyDescent="0.25">
      <c r="A38" s="15" t="s">
        <v>43</v>
      </c>
      <c r="B38" s="17">
        <v>2</v>
      </c>
      <c r="C38" s="17">
        <v>3</v>
      </c>
      <c r="D38" s="16">
        <f t="shared" si="0"/>
        <v>0.17323410714285714</v>
      </c>
      <c r="E38" s="43">
        <v>1</v>
      </c>
      <c r="F38" s="41">
        <v>14551665</v>
      </c>
      <c r="G38" s="41">
        <v>84000000</v>
      </c>
      <c r="H38" s="15">
        <v>126</v>
      </c>
      <c r="I38" s="18">
        <v>79</v>
      </c>
      <c r="J38" s="15">
        <v>74</v>
      </c>
      <c r="K38" s="21">
        <v>40.090000000000003</v>
      </c>
      <c r="L38" s="21">
        <v>20.83</v>
      </c>
      <c r="M38" s="15">
        <v>109.6</v>
      </c>
      <c r="N38" s="15">
        <v>0.85</v>
      </c>
      <c r="O38" s="15">
        <v>93</v>
      </c>
      <c r="P38" s="6">
        <v>1419610</v>
      </c>
      <c r="Q38">
        <f t="shared" si="1"/>
        <v>1.6900119047619049E-2</v>
      </c>
    </row>
    <row r="39" spans="1:17" x14ac:dyDescent="0.25">
      <c r="A39" s="15" t="s">
        <v>91</v>
      </c>
      <c r="B39" s="17">
        <v>1</v>
      </c>
      <c r="C39" s="17">
        <v>3</v>
      </c>
      <c r="D39" s="16">
        <f t="shared" si="0"/>
        <v>0.26864996896710513</v>
      </c>
      <c r="E39" s="43">
        <v>2</v>
      </c>
      <c r="F39" s="41">
        <v>1341826</v>
      </c>
      <c r="G39" s="41">
        <v>4994700</v>
      </c>
      <c r="H39" s="15">
        <v>132</v>
      </c>
      <c r="I39" s="18">
        <v>69</v>
      </c>
      <c r="J39" s="15">
        <v>95</v>
      </c>
      <c r="K39" s="21">
        <f>AVERAGE(K34:K38)</f>
        <v>24.419999999999998</v>
      </c>
      <c r="L39" s="21">
        <v>20.22</v>
      </c>
      <c r="M39" s="15">
        <v>71.7</v>
      </c>
      <c r="N39" s="15">
        <v>8.3800000000000008</v>
      </c>
      <c r="O39" s="15">
        <v>86</v>
      </c>
      <c r="P39" s="6">
        <v>23497</v>
      </c>
      <c r="Q39">
        <f t="shared" si="1"/>
        <v>4.7043866498488402E-3</v>
      </c>
    </row>
    <row r="40" spans="1:17" x14ac:dyDescent="0.25">
      <c r="A40" s="15" t="s">
        <v>44</v>
      </c>
      <c r="B40" s="17">
        <v>2</v>
      </c>
      <c r="C40" s="17">
        <v>2</v>
      </c>
      <c r="D40" s="16">
        <f t="shared" si="0"/>
        <v>0.44036322024771135</v>
      </c>
      <c r="E40" s="43">
        <v>2</v>
      </c>
      <c r="F40" s="41">
        <v>1635509</v>
      </c>
      <c r="G40" s="41">
        <v>3714000</v>
      </c>
      <c r="H40" s="15">
        <v>120</v>
      </c>
      <c r="I40" s="18">
        <v>67</v>
      </c>
      <c r="J40" s="15">
        <v>67</v>
      </c>
      <c r="K40" s="21">
        <v>28.82</v>
      </c>
      <c r="L40" s="21">
        <v>16.579999999999998</v>
      </c>
      <c r="M40" s="15">
        <v>57.4</v>
      </c>
      <c r="N40" s="15">
        <v>0.4</v>
      </c>
      <c r="O40" s="15">
        <v>92</v>
      </c>
      <c r="P40" s="6">
        <v>-50000</v>
      </c>
      <c r="Q40">
        <f t="shared" si="1"/>
        <v>-1.3462574044157244E-2</v>
      </c>
    </row>
    <row r="41" spans="1:17" x14ac:dyDescent="0.25">
      <c r="A41" s="15" t="s">
        <v>45</v>
      </c>
      <c r="B41" s="17">
        <v>1</v>
      </c>
      <c r="C41" s="17">
        <v>2</v>
      </c>
      <c r="D41" s="16">
        <f t="shared" si="0"/>
        <v>0.29236541328474408</v>
      </c>
      <c r="E41" s="43">
        <v>1</v>
      </c>
      <c r="F41" s="41">
        <v>353002</v>
      </c>
      <c r="G41" s="41">
        <v>1207400</v>
      </c>
      <c r="H41" s="15">
        <v>126</v>
      </c>
      <c r="I41" s="18">
        <v>67</v>
      </c>
      <c r="J41" s="15">
        <v>90</v>
      </c>
      <c r="K41" s="21">
        <v>14.97</v>
      </c>
      <c r="L41" s="21">
        <v>19.239999999999998</v>
      </c>
      <c r="M41" s="15">
        <v>130.69999999999999</v>
      </c>
      <c r="N41" s="15">
        <v>2.66</v>
      </c>
      <c r="O41" s="15">
        <v>98</v>
      </c>
      <c r="P41" s="6">
        <v>25001</v>
      </c>
      <c r="Q41">
        <f t="shared" si="1"/>
        <v>2.0706476726851084E-2</v>
      </c>
    </row>
    <row r="42" spans="1:17" x14ac:dyDescent="0.25">
      <c r="A42" s="15" t="s">
        <v>46</v>
      </c>
      <c r="B42" s="17">
        <v>1</v>
      </c>
      <c r="C42" s="17">
        <v>1</v>
      </c>
      <c r="D42" s="16">
        <f t="shared" si="0"/>
        <v>0.17377615789473685</v>
      </c>
      <c r="E42" s="43">
        <v>2</v>
      </c>
      <c r="F42" s="41">
        <v>3301747</v>
      </c>
      <c r="G42" s="41">
        <v>19000000</v>
      </c>
      <c r="H42" s="15">
        <v>151</v>
      </c>
      <c r="I42" s="18">
        <v>63</v>
      </c>
      <c r="J42" s="15">
        <v>78</v>
      </c>
      <c r="K42" s="21">
        <f>AVERAGE(K40:K41)</f>
        <v>21.895</v>
      </c>
      <c r="L42" s="21">
        <v>18.04</v>
      </c>
      <c r="M42" s="15">
        <v>25.7</v>
      </c>
      <c r="N42" s="15">
        <v>1.32</v>
      </c>
      <c r="O42" s="15">
        <v>92</v>
      </c>
      <c r="P42" s="6">
        <v>85285</v>
      </c>
      <c r="Q42">
        <f t="shared" si="1"/>
        <v>4.4886842105263157E-3</v>
      </c>
    </row>
    <row r="43" spans="1:17" x14ac:dyDescent="0.25">
      <c r="A43" s="15" t="s">
        <v>47</v>
      </c>
      <c r="B43" s="17">
        <v>2</v>
      </c>
      <c r="C43" s="17">
        <v>2</v>
      </c>
      <c r="D43" s="16">
        <f t="shared" si="0"/>
        <v>0.37269397044290575</v>
      </c>
      <c r="E43" s="43">
        <v>2</v>
      </c>
      <c r="F43" s="41">
        <v>231557</v>
      </c>
      <c r="G43" s="41">
        <v>621306</v>
      </c>
      <c r="H43" s="15">
        <v>112</v>
      </c>
      <c r="I43" s="18">
        <v>61</v>
      </c>
      <c r="J43" s="15">
        <v>81</v>
      </c>
      <c r="K43" s="21">
        <v>14.83</v>
      </c>
      <c r="L43" s="21">
        <v>15.76</v>
      </c>
      <c r="M43" s="15">
        <v>45</v>
      </c>
      <c r="N43" s="15">
        <v>0.9</v>
      </c>
      <c r="O43" s="15">
        <v>98</v>
      </c>
      <c r="P43" s="6">
        <v>-2400</v>
      </c>
      <c r="Q43">
        <f t="shared" si="1"/>
        <v>-3.8628308756071886E-3</v>
      </c>
    </row>
    <row r="44" spans="1:17" x14ac:dyDescent="0.25">
      <c r="A44" s="15" t="s">
        <v>48</v>
      </c>
      <c r="B44" s="17">
        <v>1</v>
      </c>
      <c r="C44" s="17">
        <v>3</v>
      </c>
      <c r="D44" s="16">
        <f t="shared" si="0"/>
        <v>0.33483736363636363</v>
      </c>
      <c r="E44" s="43">
        <v>2</v>
      </c>
      <c r="F44" s="41">
        <v>3683211</v>
      </c>
      <c r="G44" s="41">
        <v>11000000</v>
      </c>
      <c r="H44" s="15">
        <v>121</v>
      </c>
      <c r="I44" s="18">
        <v>62</v>
      </c>
      <c r="J44" s="15">
        <v>89</v>
      </c>
      <c r="K44" s="21">
        <v>12.86</v>
      </c>
      <c r="L44" s="21">
        <v>14.37</v>
      </c>
      <c r="M44" s="15">
        <v>138.6</v>
      </c>
      <c r="N44" s="15">
        <v>2.2999999999999998</v>
      </c>
      <c r="O44" s="15">
        <v>95</v>
      </c>
      <c r="P44" s="6">
        <v>59997</v>
      </c>
      <c r="Q44">
        <f t="shared" si="1"/>
        <v>5.4542727272727269E-3</v>
      </c>
    </row>
    <row r="45" spans="1:17" x14ac:dyDescent="0.25">
      <c r="A45" s="15" t="s">
        <v>49</v>
      </c>
      <c r="B45" s="17">
        <v>1</v>
      </c>
      <c r="C45" s="17">
        <v>1</v>
      </c>
      <c r="D45" s="16">
        <f t="shared" si="0"/>
        <v>0.13869788692175899</v>
      </c>
      <c r="E45" s="43">
        <v>2</v>
      </c>
      <c r="F45" s="41">
        <v>72858</v>
      </c>
      <c r="G45" s="41">
        <v>525300</v>
      </c>
      <c r="H45" s="15">
        <v>137</v>
      </c>
      <c r="I45" s="18">
        <v>50</v>
      </c>
      <c r="J45" s="15">
        <v>90</v>
      </c>
      <c r="K45" s="21">
        <v>24.19</v>
      </c>
      <c r="L45" s="21">
        <v>14.4</v>
      </c>
      <c r="M45" s="15">
        <v>1379.8</v>
      </c>
      <c r="N45" s="15">
        <v>2.79</v>
      </c>
      <c r="O45" s="15">
        <v>87</v>
      </c>
      <c r="P45" s="6">
        <v>4501</v>
      </c>
      <c r="Q45">
        <f t="shared" si="1"/>
        <v>8.5684370835712922E-3</v>
      </c>
    </row>
    <row r="46" spans="1:17" x14ac:dyDescent="0.25">
      <c r="A46" s="15" t="s">
        <v>92</v>
      </c>
      <c r="B46" s="17">
        <v>1</v>
      </c>
      <c r="C46" s="17">
        <v>2</v>
      </c>
      <c r="D46" s="16">
        <f t="shared" si="0"/>
        <v>0.23880795744680852</v>
      </c>
      <c r="E46" s="43">
        <v>2</v>
      </c>
      <c r="F46" s="41">
        <v>11223974</v>
      </c>
      <c r="G46" s="41">
        <v>47000000</v>
      </c>
      <c r="H46" s="15">
        <v>116</v>
      </c>
      <c r="I46" s="18">
        <v>78</v>
      </c>
      <c r="J46" s="15">
        <v>92</v>
      </c>
      <c r="K46" s="21">
        <v>11.81</v>
      </c>
      <c r="L46" s="21">
        <v>13.05</v>
      </c>
      <c r="M46" s="15">
        <v>93.7</v>
      </c>
      <c r="N46" s="15">
        <v>2.71</v>
      </c>
      <c r="O46" s="15">
        <v>96</v>
      </c>
      <c r="P46" s="6">
        <v>200000</v>
      </c>
      <c r="Q46">
        <f t="shared" si="1"/>
        <v>4.2553191489361703E-3</v>
      </c>
    </row>
    <row r="47" spans="1:17" x14ac:dyDescent="0.25">
      <c r="A47" s="15" t="s">
        <v>50</v>
      </c>
      <c r="B47" s="17">
        <v>1</v>
      </c>
      <c r="C47" s="17">
        <v>2</v>
      </c>
      <c r="D47" s="16">
        <f t="shared" si="0"/>
        <v>0.3380263</v>
      </c>
      <c r="E47" s="43">
        <v>2</v>
      </c>
      <c r="F47" s="41">
        <v>3380263</v>
      </c>
      <c r="G47" s="41">
        <v>10000000</v>
      </c>
      <c r="H47" s="15">
        <v>131</v>
      </c>
      <c r="I47" s="18">
        <v>62</v>
      </c>
      <c r="J47" s="15">
        <v>86</v>
      </c>
      <c r="K47" s="21">
        <v>13</v>
      </c>
      <c r="L47" s="21">
        <v>16.55</v>
      </c>
      <c r="M47" s="15">
        <v>111.3</v>
      </c>
      <c r="N47" s="15">
        <v>2.2400000000000002</v>
      </c>
      <c r="O47" s="15">
        <v>87</v>
      </c>
      <c r="P47" s="6">
        <v>-30001</v>
      </c>
      <c r="Q47">
        <f t="shared" si="1"/>
        <v>-3.0000999999999999E-3</v>
      </c>
    </row>
    <row r="48" spans="1:17" x14ac:dyDescent="0.25">
      <c r="A48" s="15" t="s">
        <v>51</v>
      </c>
      <c r="B48" s="17">
        <v>2</v>
      </c>
      <c r="C48" s="17">
        <v>2</v>
      </c>
      <c r="D48" s="16">
        <f t="shared" si="0"/>
        <v>4.5813642857142858E-2</v>
      </c>
      <c r="E48" s="43">
        <v>2</v>
      </c>
      <c r="F48" s="41">
        <v>3206955</v>
      </c>
      <c r="G48" s="41">
        <v>70000000</v>
      </c>
      <c r="H48" s="15">
        <v>144</v>
      </c>
      <c r="I48" s="18">
        <v>60</v>
      </c>
      <c r="J48" s="15">
        <v>69</v>
      </c>
      <c r="K48" s="21">
        <v>21.11</v>
      </c>
      <c r="L48" s="21">
        <v>14.68</v>
      </c>
      <c r="M48" s="15">
        <v>136.6</v>
      </c>
      <c r="N48" s="15">
        <v>0.72</v>
      </c>
      <c r="O48" s="15">
        <v>95</v>
      </c>
      <c r="P48" s="6">
        <v>97222</v>
      </c>
      <c r="Q48">
        <f t="shared" si="1"/>
        <v>1.3888857142857142E-3</v>
      </c>
    </row>
    <row r="49" spans="1:17" x14ac:dyDescent="0.25">
      <c r="A49" s="15" t="s">
        <v>108</v>
      </c>
      <c r="B49" s="17">
        <v>2</v>
      </c>
      <c r="C49" s="17">
        <v>1</v>
      </c>
      <c r="D49" s="16">
        <f t="shared" si="0"/>
        <v>0.16062520751230638</v>
      </c>
      <c r="E49" s="43">
        <v>2</v>
      </c>
      <c r="F49" s="41">
        <v>1112699</v>
      </c>
      <c r="G49" s="41">
        <v>6927300</v>
      </c>
      <c r="H49" s="15">
        <v>117</v>
      </c>
      <c r="I49" s="18">
        <v>59</v>
      </c>
      <c r="J49" s="15">
        <v>77</v>
      </c>
      <c r="K49" s="21">
        <f>AVERAGE(K43:K48)</f>
        <v>16.3</v>
      </c>
      <c r="L49" s="21">
        <v>13.9</v>
      </c>
      <c r="M49" s="15">
        <v>64</v>
      </c>
      <c r="N49" s="15">
        <v>1</v>
      </c>
      <c r="O49" s="15">
        <v>96</v>
      </c>
      <c r="P49" s="6">
        <v>-25000</v>
      </c>
      <c r="Q49">
        <f t="shared" si="1"/>
        <v>-3.6089096762086238E-3</v>
      </c>
    </row>
    <row r="50" spans="1:17" x14ac:dyDescent="0.25">
      <c r="A50" s="15" t="s">
        <v>52</v>
      </c>
      <c r="B50" s="17">
        <v>1</v>
      </c>
      <c r="C50" s="17">
        <v>2</v>
      </c>
      <c r="D50" s="16">
        <f t="shared" si="0"/>
        <v>0.15077905491698596</v>
      </c>
      <c r="E50" s="43">
        <v>2</v>
      </c>
      <c r="F50" s="41">
        <v>11806</v>
      </c>
      <c r="G50" s="41">
        <v>78300</v>
      </c>
      <c r="H50" s="15">
        <v>105</v>
      </c>
      <c r="I50" s="18">
        <v>80</v>
      </c>
      <c r="J50" s="15">
        <v>68</v>
      </c>
      <c r="K50" s="21">
        <v>16.62</v>
      </c>
      <c r="L50" s="21">
        <v>25.84</v>
      </c>
      <c r="M50" s="15">
        <v>2.5999999999999999E-2</v>
      </c>
      <c r="N50" s="15">
        <v>4.83</v>
      </c>
      <c r="O50" s="15">
        <v>83</v>
      </c>
      <c r="P50" s="6">
        <v>94477.33</v>
      </c>
      <c r="Q50">
        <f t="shared" si="1"/>
        <v>1.206607024265645</v>
      </c>
    </row>
    <row r="51" spans="1:17" x14ac:dyDescent="0.25">
      <c r="A51" s="15" t="s">
        <v>53</v>
      </c>
      <c r="B51" s="17">
        <v>2</v>
      </c>
      <c r="C51" s="17">
        <v>3</v>
      </c>
      <c r="D51" s="16">
        <f t="shared" si="0"/>
        <v>4.3463775193798453E-2</v>
      </c>
      <c r="E51" s="43">
        <v>1</v>
      </c>
      <c r="F51" s="41">
        <v>5606827</v>
      </c>
      <c r="G51" s="41">
        <v>129000000</v>
      </c>
      <c r="H51" s="15">
        <v>129</v>
      </c>
      <c r="I51" s="18">
        <v>62</v>
      </c>
      <c r="J51" s="15">
        <v>66</v>
      </c>
      <c r="K51" s="21">
        <v>7.63</v>
      </c>
      <c r="L51" s="21">
        <v>20.34</v>
      </c>
      <c r="M51" s="15">
        <v>66.3</v>
      </c>
      <c r="N51" s="15">
        <v>1.04</v>
      </c>
      <c r="O51" s="15">
        <v>101</v>
      </c>
      <c r="P51" s="6">
        <v>-300000</v>
      </c>
      <c r="Q51">
        <f t="shared" si="1"/>
        <v>-2.3255813953488372E-3</v>
      </c>
    </row>
    <row r="52" spans="1:17" x14ac:dyDescent="0.25">
      <c r="A52" s="15" t="s">
        <v>109</v>
      </c>
      <c r="B52" s="17">
        <v>2</v>
      </c>
      <c r="C52" s="17">
        <v>2</v>
      </c>
      <c r="D52" s="16">
        <f t="shared" si="0"/>
        <v>0.24883438408613295</v>
      </c>
      <c r="E52" s="43">
        <v>2</v>
      </c>
      <c r="F52" s="41">
        <v>864376</v>
      </c>
      <c r="G52" s="41">
        <v>3473700</v>
      </c>
      <c r="H52" s="15">
        <v>135</v>
      </c>
      <c r="I52" s="18">
        <v>63</v>
      </c>
      <c r="J52" s="15">
        <v>71</v>
      </c>
      <c r="K52" s="21">
        <f>AVERAGE(K50:K51)</f>
        <v>12.125</v>
      </c>
      <c r="L52" s="21">
        <v>20.2</v>
      </c>
      <c r="M52" s="15">
        <v>19.8</v>
      </c>
      <c r="N52" s="15">
        <v>1.54</v>
      </c>
      <c r="O52" s="15">
        <v>89</v>
      </c>
      <c r="P52" s="6">
        <v>94477.33</v>
      </c>
      <c r="Q52">
        <f t="shared" si="1"/>
        <v>2.7197895615625991E-2</v>
      </c>
    </row>
    <row r="53" spans="1:17" x14ac:dyDescent="0.25">
      <c r="A53" s="15" t="s">
        <v>54</v>
      </c>
      <c r="B53" s="17">
        <v>1</v>
      </c>
      <c r="C53" s="17">
        <v>2</v>
      </c>
      <c r="D53" s="16">
        <f t="shared" si="0"/>
        <v>0.22438266778523491</v>
      </c>
      <c r="E53" s="43">
        <v>1</v>
      </c>
      <c r="F53" s="41">
        <v>13373207</v>
      </c>
      <c r="G53" s="41">
        <v>59600000</v>
      </c>
      <c r="H53" s="15">
        <v>118</v>
      </c>
      <c r="I53" s="18">
        <v>69</v>
      </c>
      <c r="J53" s="15">
        <v>95</v>
      </c>
      <c r="K53" s="21">
        <v>11.06</v>
      </c>
      <c r="L53" s="21">
        <v>12.99</v>
      </c>
      <c r="M53" s="15">
        <v>205.6</v>
      </c>
      <c r="N53" s="15">
        <v>3.2</v>
      </c>
      <c r="O53" s="15">
        <v>93</v>
      </c>
      <c r="P53" s="6">
        <v>350000</v>
      </c>
      <c r="Q53">
        <f t="shared" si="1"/>
        <v>5.8724832214765103E-3</v>
      </c>
    </row>
    <row r="54" spans="1:17" x14ac:dyDescent="0.25">
      <c r="A54" s="15" t="s">
        <v>55</v>
      </c>
      <c r="B54" s="17">
        <v>2</v>
      </c>
      <c r="C54" s="17">
        <v>2</v>
      </c>
      <c r="D54" s="16">
        <f t="shared" si="0"/>
        <v>0.22146884505149322</v>
      </c>
      <c r="E54" s="43">
        <v>2</v>
      </c>
      <c r="F54" s="41">
        <v>1940516</v>
      </c>
      <c r="G54" s="41">
        <v>8762027</v>
      </c>
      <c r="H54" s="15">
        <v>114</v>
      </c>
      <c r="I54" s="18">
        <v>58</v>
      </c>
      <c r="J54" s="15">
        <v>77</v>
      </c>
      <c r="K54" s="21">
        <v>14.54</v>
      </c>
      <c r="L54" s="21">
        <v>15.37</v>
      </c>
      <c r="M54" s="15">
        <v>99.9</v>
      </c>
      <c r="N54" s="15">
        <v>0.7</v>
      </c>
      <c r="O54" s="15">
        <v>95</v>
      </c>
      <c r="P54" s="6">
        <v>-50000</v>
      </c>
      <c r="Q54">
        <f t="shared" si="1"/>
        <v>-5.7064421280600937E-3</v>
      </c>
    </row>
    <row r="55" spans="1:17" x14ac:dyDescent="0.25">
      <c r="A55" s="15" t="s">
        <v>56</v>
      </c>
      <c r="B55" s="17">
        <v>2</v>
      </c>
      <c r="C55" s="17">
        <v>1</v>
      </c>
      <c r="D55" s="16">
        <f t="shared" si="0"/>
        <v>3.3370354545454547E-2</v>
      </c>
      <c r="E55" s="43">
        <v>2</v>
      </c>
      <c r="F55" s="41">
        <v>3670739</v>
      </c>
      <c r="G55" s="41">
        <v>110000000</v>
      </c>
      <c r="H55" s="15">
        <v>111</v>
      </c>
      <c r="I55" s="18">
        <v>91</v>
      </c>
      <c r="J55" s="15">
        <v>51</v>
      </c>
      <c r="K55" s="21">
        <v>23.21</v>
      </c>
      <c r="L55" s="21">
        <v>30.04</v>
      </c>
      <c r="M55" s="15">
        <v>367.5</v>
      </c>
      <c r="N55" s="15">
        <v>0.33</v>
      </c>
      <c r="O55" s="15">
        <v>97</v>
      </c>
      <c r="P55" s="6">
        <v>-650000</v>
      </c>
      <c r="Q55">
        <f t="shared" si="1"/>
        <v>-5.909090909090909E-3</v>
      </c>
    </row>
    <row r="56" spans="1:17" x14ac:dyDescent="0.25">
      <c r="A56" s="15" t="s">
        <v>57</v>
      </c>
      <c r="B56" s="17">
        <v>2</v>
      </c>
      <c r="C56" s="17">
        <v>3</v>
      </c>
      <c r="D56" s="16">
        <f t="shared" si="0"/>
        <v>3.1154705797101449E-2</v>
      </c>
      <c r="E56" s="43">
        <v>2</v>
      </c>
      <c r="F56" s="41">
        <v>42993494</v>
      </c>
      <c r="G56" s="41">
        <v>1380000000</v>
      </c>
      <c r="H56" s="15">
        <v>131</v>
      </c>
      <c r="I56" s="18">
        <v>99</v>
      </c>
      <c r="J56" s="15">
        <v>41</v>
      </c>
      <c r="K56" s="21">
        <v>8.5</v>
      </c>
      <c r="L56" s="21">
        <v>26.16</v>
      </c>
      <c r="M56" s="15">
        <v>464.1</v>
      </c>
      <c r="N56" s="15">
        <v>0.19</v>
      </c>
      <c r="O56" s="15">
        <v>80</v>
      </c>
      <c r="P56" s="6">
        <v>-2663434</v>
      </c>
      <c r="Q56">
        <f t="shared" si="1"/>
        <v>-1.9300246376811594E-3</v>
      </c>
    </row>
    <row r="57" spans="1:17" x14ac:dyDescent="0.25">
      <c r="A57" s="15" t="s">
        <v>58</v>
      </c>
      <c r="B57" s="17">
        <v>2</v>
      </c>
      <c r="C57" s="17">
        <v>3</v>
      </c>
      <c r="D57" s="16">
        <f t="shared" si="0"/>
        <v>0.14694705263157895</v>
      </c>
      <c r="E57" s="43">
        <v>2</v>
      </c>
      <c r="F57" s="41">
        <v>2791994</v>
      </c>
      <c r="G57" s="41">
        <v>19000000</v>
      </c>
      <c r="H57" s="15">
        <v>131</v>
      </c>
      <c r="I57" s="18">
        <v>60</v>
      </c>
      <c r="J57" s="15">
        <v>78</v>
      </c>
      <c r="K57" s="21">
        <v>10.63</v>
      </c>
      <c r="L57" s="21">
        <v>15.52</v>
      </c>
      <c r="M57" s="15">
        <v>83.6</v>
      </c>
      <c r="N57" s="15">
        <v>1.29</v>
      </c>
      <c r="O57" s="15">
        <v>95</v>
      </c>
      <c r="P57" s="6">
        <v>-150000</v>
      </c>
      <c r="Q57">
        <f t="shared" si="1"/>
        <v>-7.8947368421052634E-3</v>
      </c>
    </row>
    <row r="58" spans="1:17" x14ac:dyDescent="0.25">
      <c r="A58" s="15" t="s">
        <v>59</v>
      </c>
      <c r="B58" s="17">
        <v>1</v>
      </c>
      <c r="C58" s="17">
        <v>1</v>
      </c>
      <c r="D58" s="16">
        <f t="shared" si="0"/>
        <v>0.2881789037883784</v>
      </c>
      <c r="E58" s="43">
        <v>1</v>
      </c>
      <c r="F58" s="41">
        <v>1573111</v>
      </c>
      <c r="G58" s="41">
        <v>5458800</v>
      </c>
      <c r="H58" s="15">
        <v>144</v>
      </c>
      <c r="I58" s="18">
        <v>59</v>
      </c>
      <c r="J58" s="15">
        <v>83</v>
      </c>
      <c r="K58" s="21">
        <f>AVERAGE(K53:K57)</f>
        <v>13.587999999999999</v>
      </c>
      <c r="L58" s="21">
        <v>15.55</v>
      </c>
      <c r="M58" s="15">
        <v>113.5</v>
      </c>
      <c r="N58" s="15">
        <v>1.92</v>
      </c>
      <c r="O58" s="15">
        <v>91</v>
      </c>
      <c r="P58" s="6">
        <v>4999</v>
      </c>
      <c r="Q58">
        <f t="shared" si="1"/>
        <v>9.1576903348721331E-4</v>
      </c>
    </row>
    <row r="59" spans="1:17" s="35" customFormat="1" x14ac:dyDescent="0.25">
      <c r="A59" s="36" t="s">
        <v>6</v>
      </c>
      <c r="B59" s="37">
        <v>1</v>
      </c>
      <c r="C59" s="31">
        <v>3</v>
      </c>
      <c r="D59" s="32">
        <f t="shared" si="0"/>
        <v>0.2459838696969697</v>
      </c>
      <c r="E59" s="42">
        <v>1</v>
      </c>
      <c r="F59" s="45">
        <v>81174677</v>
      </c>
      <c r="G59" s="45">
        <v>330000000</v>
      </c>
      <c r="H59" s="36">
        <v>100</v>
      </c>
      <c r="I59" s="38">
        <v>103</v>
      </c>
      <c r="J59" s="30">
        <v>89</v>
      </c>
      <c r="K59" s="39">
        <v>39</v>
      </c>
      <c r="L59" s="39">
        <v>39</v>
      </c>
      <c r="M59" s="36">
        <v>36.200000000000003</v>
      </c>
      <c r="N59" s="36">
        <v>6.4</v>
      </c>
      <c r="O59" s="30">
        <v>86</v>
      </c>
      <c r="P59" s="6">
        <v>4774029</v>
      </c>
      <c r="Q59" s="35">
        <f t="shared" si="1"/>
        <v>1.4466754545454546E-2</v>
      </c>
    </row>
    <row r="60" spans="1:17" x14ac:dyDescent="0.25">
      <c r="A60" s="15" t="s">
        <v>60</v>
      </c>
      <c r="B60" s="17">
        <v>1</v>
      </c>
      <c r="C60" s="17">
        <v>3</v>
      </c>
      <c r="D60" s="16">
        <f t="shared" si="0"/>
        <v>0.3488745400593472</v>
      </c>
      <c r="E60" s="43">
        <v>1</v>
      </c>
      <c r="F60" s="41">
        <v>23514144</v>
      </c>
      <c r="G60" s="41">
        <v>67400000</v>
      </c>
      <c r="H60" s="15">
        <v>113</v>
      </c>
      <c r="I60" s="18">
        <v>78</v>
      </c>
      <c r="J60" s="15">
        <v>92</v>
      </c>
      <c r="K60" s="21">
        <v>22.95</v>
      </c>
      <c r="L60" s="21">
        <v>17.649999999999999</v>
      </c>
      <c r="M60" s="15">
        <v>119.2</v>
      </c>
      <c r="N60" s="15">
        <v>3.9</v>
      </c>
      <c r="O60" s="15">
        <v>82</v>
      </c>
      <c r="P60" s="6">
        <v>400002</v>
      </c>
      <c r="Q60">
        <f t="shared" si="1"/>
        <v>5.934747774480712E-3</v>
      </c>
    </row>
    <row r="61" spans="1:17" x14ac:dyDescent="0.25">
      <c r="A61" s="15" t="s">
        <v>61</v>
      </c>
      <c r="B61" s="17">
        <v>2</v>
      </c>
      <c r="C61" s="17">
        <v>2</v>
      </c>
      <c r="D61" s="16">
        <f t="shared" si="0"/>
        <v>0.12038323611111111</v>
      </c>
      <c r="E61" s="43">
        <v>1</v>
      </c>
      <c r="F61" s="41">
        <v>17335186</v>
      </c>
      <c r="G61" s="41">
        <v>144000000</v>
      </c>
      <c r="H61" s="15">
        <v>100</v>
      </c>
      <c r="I61" s="18">
        <v>100</v>
      </c>
      <c r="J61" s="15">
        <v>75</v>
      </c>
      <c r="K61" s="21">
        <v>59.22</v>
      </c>
      <c r="L61" s="21">
        <v>18.36</v>
      </c>
      <c r="M61" s="15">
        <v>8.9</v>
      </c>
      <c r="N61" s="15">
        <v>1</v>
      </c>
      <c r="O61" s="15">
        <v>92</v>
      </c>
      <c r="P61" s="6">
        <v>912279</v>
      </c>
      <c r="Q61">
        <f t="shared" si="1"/>
        <v>6.3352708333333334E-3</v>
      </c>
    </row>
    <row r="62" spans="1:17" x14ac:dyDescent="0.25">
      <c r="A62" s="15" t="s">
        <v>62</v>
      </c>
      <c r="B62" s="17">
        <v>2</v>
      </c>
      <c r="C62" s="17">
        <v>1</v>
      </c>
      <c r="D62" s="16">
        <f t="shared" si="0"/>
        <v>0.19936515555555556</v>
      </c>
      <c r="E62" s="43">
        <v>2</v>
      </c>
      <c r="F62" s="41">
        <v>8971432</v>
      </c>
      <c r="G62" s="41">
        <v>45000000</v>
      </c>
      <c r="H62" s="15">
        <v>116</v>
      </c>
      <c r="I62" s="18">
        <v>58</v>
      </c>
      <c r="J62" s="15">
        <v>68</v>
      </c>
      <c r="K62" s="21">
        <v>11.18</v>
      </c>
      <c r="L62" s="21">
        <v>24.44</v>
      </c>
      <c r="M62" s="15">
        <v>16.5</v>
      </c>
      <c r="N62" s="15">
        <v>0.8</v>
      </c>
      <c r="O62" s="15">
        <v>94</v>
      </c>
      <c r="P62" s="6">
        <v>24000</v>
      </c>
      <c r="Q62">
        <f t="shared" si="1"/>
        <v>5.3333333333333336E-4</v>
      </c>
    </row>
    <row r="63" spans="1:17" x14ac:dyDescent="0.25">
      <c r="A63" s="15" t="s">
        <v>63</v>
      </c>
      <c r="B63" s="17">
        <v>2</v>
      </c>
      <c r="C63" s="17">
        <v>1</v>
      </c>
      <c r="D63" s="16">
        <f t="shared" si="0"/>
        <v>0.10013597335858451</v>
      </c>
      <c r="E63" s="43">
        <v>1</v>
      </c>
      <c r="F63" s="41">
        <v>941168</v>
      </c>
      <c r="G63" s="41">
        <v>9398900</v>
      </c>
      <c r="H63" s="15">
        <v>131</v>
      </c>
      <c r="I63" s="18">
        <v>61</v>
      </c>
      <c r="J63" s="15">
        <v>79</v>
      </c>
      <c r="K63" s="1">
        <f>AVERAGE(K60:K62)</f>
        <v>31.116666666666664</v>
      </c>
      <c r="L63" s="21">
        <v>17.239999999999998</v>
      </c>
      <c r="M63" s="15">
        <v>46.6</v>
      </c>
      <c r="N63" s="15">
        <v>0.64</v>
      </c>
      <c r="O63" s="15">
        <v>90</v>
      </c>
      <c r="P63" s="6">
        <v>10000</v>
      </c>
      <c r="Q63">
        <f t="shared" si="1"/>
        <v>1.0639542925235932E-3</v>
      </c>
    </row>
    <row r="64" spans="1:17" x14ac:dyDescent="0.25">
      <c r="A64" s="15" t="s">
        <v>64</v>
      </c>
      <c r="B64" s="17">
        <v>1</v>
      </c>
      <c r="C64" s="17">
        <v>3</v>
      </c>
      <c r="D64" s="16">
        <f t="shared" si="0"/>
        <v>0.24665770000000001</v>
      </c>
      <c r="E64" s="43">
        <v>2</v>
      </c>
      <c r="F64" s="41">
        <v>2466577</v>
      </c>
      <c r="G64" s="41">
        <v>10000000</v>
      </c>
      <c r="H64" s="15">
        <v>106</v>
      </c>
      <c r="I64" s="18">
        <v>68</v>
      </c>
      <c r="J64" s="15">
        <v>95</v>
      </c>
      <c r="K64" s="21">
        <v>24.89</v>
      </c>
      <c r="L64" s="21">
        <v>17.62</v>
      </c>
      <c r="M64" s="15">
        <v>24.6</v>
      </c>
      <c r="N64" s="15">
        <v>5.19</v>
      </c>
      <c r="O64" s="15">
        <v>96</v>
      </c>
      <c r="P64" s="6">
        <v>94477.33</v>
      </c>
      <c r="Q64">
        <f t="shared" si="1"/>
        <v>9.4477329999999998E-3</v>
      </c>
    </row>
    <row r="65" spans="1:17" x14ac:dyDescent="0.25">
      <c r="A65" s="15" t="s">
        <v>65</v>
      </c>
      <c r="B65" s="17">
        <v>2</v>
      </c>
      <c r="C65" s="17">
        <v>3</v>
      </c>
      <c r="D65" s="16">
        <f t="shared" ref="D65:D92" si="2">F65/G65</f>
        <v>0.11123479545454545</v>
      </c>
      <c r="E65" s="43">
        <v>2</v>
      </c>
      <c r="F65" s="41">
        <v>4894331</v>
      </c>
      <c r="G65" s="41">
        <v>44000000</v>
      </c>
      <c r="H65" s="15">
        <v>118</v>
      </c>
      <c r="I65" s="18">
        <v>57</v>
      </c>
      <c r="J65" s="15">
        <v>75</v>
      </c>
      <c r="K65" s="21">
        <v>39.729999999999997</v>
      </c>
      <c r="L65" s="21">
        <v>15.99</v>
      </c>
      <c r="M65" s="15">
        <v>75.5</v>
      </c>
      <c r="N65" s="15">
        <v>0.37</v>
      </c>
      <c r="O65" s="15">
        <v>92</v>
      </c>
      <c r="P65" s="6">
        <v>200000</v>
      </c>
      <c r="Q65">
        <f t="shared" ref="Q65:Q92" si="3">P65/G65</f>
        <v>4.5454545454545452E-3</v>
      </c>
    </row>
    <row r="66" spans="1:17" x14ac:dyDescent="0.25">
      <c r="A66" s="15" t="s">
        <v>66</v>
      </c>
      <c r="B66" s="17">
        <v>2</v>
      </c>
      <c r="C66" s="17">
        <v>1</v>
      </c>
      <c r="D66" s="16">
        <f t="shared" si="2"/>
        <v>6.8654842105263153E-2</v>
      </c>
      <c r="E66" s="43">
        <v>2</v>
      </c>
      <c r="F66" s="41">
        <v>1304442</v>
      </c>
      <c r="G66" s="41">
        <v>19000000</v>
      </c>
      <c r="H66" s="15">
        <v>107</v>
      </c>
      <c r="I66" s="18">
        <v>83</v>
      </c>
      <c r="J66" s="15">
        <v>69</v>
      </c>
      <c r="K66" s="21">
        <v>23.43</v>
      </c>
      <c r="L66" s="21">
        <v>29.24</v>
      </c>
      <c r="M66" s="15">
        <v>7</v>
      </c>
      <c r="N66" s="15">
        <v>0.91</v>
      </c>
      <c r="O66" s="15">
        <v>90</v>
      </c>
      <c r="P66" s="6">
        <v>-100000</v>
      </c>
      <c r="Q66">
        <f t="shared" si="3"/>
        <v>-5.263157894736842E-3</v>
      </c>
    </row>
    <row r="67" spans="1:17" x14ac:dyDescent="0.25">
      <c r="A67" s="15" t="s">
        <v>110</v>
      </c>
      <c r="B67" s="17">
        <v>2</v>
      </c>
      <c r="C67" s="17">
        <v>2</v>
      </c>
      <c r="D67" s="16">
        <f t="shared" si="2"/>
        <v>9.8250578540949748E-2</v>
      </c>
      <c r="E67" s="43">
        <v>2</v>
      </c>
      <c r="F67" s="41">
        <v>373105</v>
      </c>
      <c r="G67" s="12">
        <f>1825226+1972258</f>
        <v>3797484</v>
      </c>
      <c r="H67" s="15">
        <v>104</v>
      </c>
      <c r="I67" s="18">
        <v>56</v>
      </c>
      <c r="J67" s="15">
        <v>72</v>
      </c>
      <c r="K67" s="21">
        <f>AVERAGE(K64:K66)</f>
        <v>29.350000000000005</v>
      </c>
      <c r="L67" s="21">
        <v>14.3</v>
      </c>
      <c r="M67" s="15">
        <v>64.3</v>
      </c>
      <c r="N67" s="15">
        <v>0.59499999999999997</v>
      </c>
      <c r="O67" s="15">
        <v>94</v>
      </c>
      <c r="P67" s="6">
        <v>-2506</v>
      </c>
      <c r="Q67">
        <f t="shared" si="3"/>
        <v>-6.5991061450160161E-4</v>
      </c>
    </row>
    <row r="68" spans="1:17" x14ac:dyDescent="0.25">
      <c r="A68" s="15" t="s">
        <v>67</v>
      </c>
      <c r="B68" s="17">
        <v>2</v>
      </c>
      <c r="C68" s="17">
        <v>1</v>
      </c>
      <c r="D68" s="16">
        <f t="shared" si="2"/>
        <v>8.4798726190476195E-2</v>
      </c>
      <c r="E68" s="43">
        <v>1</v>
      </c>
      <c r="F68" s="41">
        <v>7123093</v>
      </c>
      <c r="G68" s="41">
        <v>84000000</v>
      </c>
      <c r="H68" s="15">
        <v>109</v>
      </c>
      <c r="I68" s="18">
        <v>96</v>
      </c>
      <c r="J68" s="15">
        <v>72</v>
      </c>
      <c r="K68" s="21">
        <v>19.39</v>
      </c>
      <c r="L68" s="21">
        <v>24.74</v>
      </c>
      <c r="M68" s="15">
        <v>49.6</v>
      </c>
      <c r="N68" s="15">
        <v>0.23</v>
      </c>
      <c r="O68" s="15">
        <v>79</v>
      </c>
      <c r="P68" s="6">
        <v>-274998</v>
      </c>
      <c r="Q68">
        <f t="shared" si="3"/>
        <v>-3.2737857142857143E-3</v>
      </c>
    </row>
    <row r="69" spans="1:17" x14ac:dyDescent="0.25">
      <c r="A69" s="15" t="s">
        <v>68</v>
      </c>
      <c r="B69" s="17">
        <v>2</v>
      </c>
      <c r="C69" s="17">
        <v>1</v>
      </c>
      <c r="D69" s="16">
        <f t="shared" si="2"/>
        <v>4.6875555555555552E-2</v>
      </c>
      <c r="E69" s="43">
        <v>2</v>
      </c>
      <c r="F69" s="41">
        <v>843760</v>
      </c>
      <c r="G69" s="41">
        <v>18000000</v>
      </c>
      <c r="H69" s="15">
        <v>110</v>
      </c>
      <c r="I69" s="18">
        <v>56</v>
      </c>
      <c r="J69" s="15">
        <v>62</v>
      </c>
      <c r="K69" s="21">
        <v>9.31</v>
      </c>
      <c r="L69" s="21">
        <v>27.39</v>
      </c>
      <c r="M69" s="15">
        <v>71</v>
      </c>
      <c r="N69" s="15">
        <v>0.56000000000000005</v>
      </c>
      <c r="O69" s="15">
        <v>94</v>
      </c>
      <c r="P69" s="6">
        <v>-30776</v>
      </c>
      <c r="Q69">
        <f t="shared" si="3"/>
        <v>-1.7097777777777777E-3</v>
      </c>
    </row>
    <row r="70" spans="1:17" x14ac:dyDescent="0.25">
      <c r="A70" s="15" t="s">
        <v>111</v>
      </c>
      <c r="B70" s="17">
        <v>2</v>
      </c>
      <c r="C70" s="17">
        <v>1</v>
      </c>
      <c r="D70" s="16">
        <f t="shared" si="2"/>
        <v>7.90767E-2</v>
      </c>
      <c r="E70" s="43">
        <v>2</v>
      </c>
      <c r="F70" s="41">
        <v>790767</v>
      </c>
      <c r="G70" s="41">
        <v>10000000</v>
      </c>
      <c r="H70" s="15">
        <v>113</v>
      </c>
      <c r="I70" s="18">
        <v>64</v>
      </c>
      <c r="J70" s="15">
        <v>66</v>
      </c>
      <c r="K70" s="21">
        <f>AVERAGE(K68:K69)</f>
        <v>14.350000000000001</v>
      </c>
      <c r="L70" s="21">
        <v>23.4</v>
      </c>
      <c r="M70" s="15">
        <v>122.7</v>
      </c>
      <c r="N70" s="15">
        <v>0.42</v>
      </c>
      <c r="O70" s="15">
        <v>93</v>
      </c>
      <c r="P70" s="6">
        <v>94477.33</v>
      </c>
      <c r="Q70">
        <f t="shared" si="3"/>
        <v>9.4477329999999998E-3</v>
      </c>
    </row>
    <row r="71" spans="1:17" x14ac:dyDescent="0.25">
      <c r="A71" s="15" t="s">
        <v>69</v>
      </c>
      <c r="B71" s="17">
        <v>2</v>
      </c>
      <c r="C71" s="17">
        <v>2</v>
      </c>
      <c r="D71" s="16">
        <f t="shared" si="2"/>
        <v>0.14118750571942776</v>
      </c>
      <c r="E71" s="43">
        <v>2</v>
      </c>
      <c r="F71" s="41">
        <v>462855</v>
      </c>
      <c r="G71" s="41">
        <v>3278300</v>
      </c>
      <c r="H71" s="15">
        <v>125</v>
      </c>
      <c r="I71" s="18">
        <v>65</v>
      </c>
      <c r="J71" s="15">
        <v>53</v>
      </c>
      <c r="K71" s="21">
        <v>19.62</v>
      </c>
      <c r="L71" s="21">
        <v>31.09</v>
      </c>
      <c r="M71" s="15">
        <v>2.1</v>
      </c>
      <c r="N71" s="15">
        <v>0.4</v>
      </c>
      <c r="O71" s="15">
        <v>92</v>
      </c>
      <c r="P71" s="6">
        <v>-15001</v>
      </c>
      <c r="Q71">
        <f t="shared" si="3"/>
        <v>-4.5758472378976912E-3</v>
      </c>
    </row>
    <row r="72" spans="1:17" x14ac:dyDescent="0.25">
      <c r="A72" s="15" t="s">
        <v>70</v>
      </c>
      <c r="B72" s="17">
        <v>2</v>
      </c>
      <c r="C72" s="17">
        <v>1</v>
      </c>
      <c r="D72" s="16">
        <f t="shared" si="2"/>
        <v>0.15890643771793594</v>
      </c>
      <c r="E72" s="43">
        <v>1</v>
      </c>
      <c r="F72" s="41">
        <v>1084600</v>
      </c>
      <c r="G72" s="41">
        <v>6825400</v>
      </c>
      <c r="H72" s="15">
        <v>106</v>
      </c>
      <c r="I72" s="18">
        <v>56</v>
      </c>
      <c r="J72" s="15">
        <v>86</v>
      </c>
      <c r="K72" s="21">
        <v>19.62</v>
      </c>
      <c r="L72" s="21">
        <v>25.07</v>
      </c>
      <c r="M72" s="15">
        <v>667.2</v>
      </c>
      <c r="N72" s="15">
        <v>0.49</v>
      </c>
      <c r="O72" s="15">
        <v>94</v>
      </c>
      <c r="P72" s="6">
        <v>-150060</v>
      </c>
      <c r="Q72">
        <f t="shared" si="3"/>
        <v>-2.1985524657895508E-2</v>
      </c>
    </row>
    <row r="73" spans="1:17" x14ac:dyDescent="0.25">
      <c r="A73" s="15" t="s">
        <v>71</v>
      </c>
      <c r="B73" s="17">
        <v>1</v>
      </c>
      <c r="C73" s="17">
        <v>1</v>
      </c>
      <c r="D73" s="16">
        <f t="shared" si="2"/>
        <v>0.30333766666666667</v>
      </c>
      <c r="E73" s="43">
        <v>1</v>
      </c>
      <c r="F73" s="41">
        <v>3640052</v>
      </c>
      <c r="G73" s="41">
        <v>12000000</v>
      </c>
      <c r="H73" s="15">
        <v>107</v>
      </c>
      <c r="I73" s="18">
        <v>49</v>
      </c>
      <c r="J73" s="15">
        <v>93</v>
      </c>
      <c r="K73" s="21">
        <v>27.34</v>
      </c>
      <c r="L73" s="21">
        <v>17.03</v>
      </c>
      <c r="M73" s="15">
        <v>382.7</v>
      </c>
      <c r="N73" s="15">
        <v>4.46</v>
      </c>
      <c r="O73" s="15">
        <v>85</v>
      </c>
      <c r="P73" s="6">
        <v>240000</v>
      </c>
      <c r="Q73">
        <f t="shared" si="3"/>
        <v>0.02</v>
      </c>
    </row>
    <row r="74" spans="1:17" x14ac:dyDescent="0.25">
      <c r="A74" s="15" t="s">
        <v>112</v>
      </c>
      <c r="B74" s="17">
        <v>1</v>
      </c>
      <c r="C74" s="17">
        <v>1</v>
      </c>
      <c r="D74" s="16">
        <f t="shared" si="2"/>
        <v>0.53443359186653627</v>
      </c>
      <c r="E74" s="43">
        <v>2</v>
      </c>
      <c r="F74" s="41">
        <v>38794</v>
      </c>
      <c r="G74" s="41">
        <v>72589</v>
      </c>
      <c r="H74" s="15">
        <v>111</v>
      </c>
      <c r="I74" s="18">
        <v>57</v>
      </c>
      <c r="J74" s="15">
        <v>95</v>
      </c>
      <c r="K74" s="21">
        <v>19.62</v>
      </c>
      <c r="L74" s="21">
        <v>15.6</v>
      </c>
      <c r="M74" s="15">
        <v>164.4</v>
      </c>
      <c r="N74" s="15">
        <v>4.2</v>
      </c>
      <c r="O74" s="15">
        <v>94</v>
      </c>
      <c r="P74" s="6">
        <v>94477.33</v>
      </c>
      <c r="Q74">
        <f t="shared" si="3"/>
        <v>1.3015378363112868</v>
      </c>
    </row>
    <row r="75" spans="1:17" x14ac:dyDescent="0.25">
      <c r="A75" s="15" t="s">
        <v>72</v>
      </c>
      <c r="B75" s="17">
        <v>2</v>
      </c>
      <c r="C75" s="17">
        <v>1</v>
      </c>
      <c r="D75" s="16">
        <f t="shared" si="2"/>
        <v>0.14241495680345573</v>
      </c>
      <c r="E75" s="43">
        <v>2</v>
      </c>
      <c r="F75" s="41">
        <v>422004</v>
      </c>
      <c r="G75" s="41">
        <v>2963200</v>
      </c>
      <c r="H75" s="15">
        <v>105</v>
      </c>
      <c r="I75" s="18">
        <v>57</v>
      </c>
      <c r="J75" s="15">
        <v>71</v>
      </c>
      <c r="K75" s="21">
        <v>25.44</v>
      </c>
      <c r="L75" s="21">
        <v>20.83</v>
      </c>
      <c r="M75" s="15">
        <v>104.1</v>
      </c>
      <c r="N75" s="15">
        <v>0.43</v>
      </c>
      <c r="O75" s="15">
        <v>93</v>
      </c>
      <c r="P75" s="6">
        <v>-24989</v>
      </c>
      <c r="Q75">
        <f t="shared" si="3"/>
        <v>-8.4331128509719227E-3</v>
      </c>
    </row>
    <row r="76" spans="1:17" x14ac:dyDescent="0.25">
      <c r="A76" s="15" t="s">
        <v>73</v>
      </c>
      <c r="B76" s="17">
        <v>2</v>
      </c>
      <c r="C76" s="17">
        <v>1</v>
      </c>
      <c r="D76" s="16">
        <f t="shared" si="2"/>
        <v>0.12570795075060659</v>
      </c>
      <c r="E76" s="43">
        <v>2</v>
      </c>
      <c r="F76" s="41">
        <v>507994</v>
      </c>
      <c r="G76" s="41">
        <v>4041065</v>
      </c>
      <c r="H76" s="15">
        <v>120</v>
      </c>
      <c r="I76" s="18">
        <v>55</v>
      </c>
      <c r="J76" s="15">
        <v>67</v>
      </c>
      <c r="K76" s="21">
        <v>16.21</v>
      </c>
      <c r="L76" s="21">
        <v>15.89</v>
      </c>
      <c r="M76" s="15">
        <v>122.8</v>
      </c>
      <c r="N76" s="15">
        <v>1.0900000000000001</v>
      </c>
      <c r="O76" s="15">
        <v>93</v>
      </c>
      <c r="P76" s="6">
        <v>-14318</v>
      </c>
      <c r="Q76">
        <f t="shared" si="3"/>
        <v>-3.5431253889754311E-3</v>
      </c>
    </row>
    <row r="77" spans="1:17" x14ac:dyDescent="0.25">
      <c r="A77" s="15" t="s">
        <v>74</v>
      </c>
      <c r="B77" s="17">
        <v>3</v>
      </c>
      <c r="C77" s="17">
        <v>1</v>
      </c>
      <c r="D77" s="16">
        <f t="shared" si="2"/>
        <v>1.1210129629629629E-2</v>
      </c>
      <c r="E77" s="43">
        <v>1</v>
      </c>
      <c r="F77" s="41">
        <v>605347</v>
      </c>
      <c r="G77" s="41">
        <v>54000000</v>
      </c>
      <c r="H77" s="15">
        <v>126</v>
      </c>
      <c r="I77" s="18">
        <v>68</v>
      </c>
      <c r="J77" s="15">
        <v>42</v>
      </c>
      <c r="K77" s="21">
        <v>10.35</v>
      </c>
      <c r="L77" s="21">
        <v>25.49</v>
      </c>
      <c r="M77" s="15">
        <v>83.3</v>
      </c>
      <c r="N77" s="15">
        <v>0.14000000000000001</v>
      </c>
      <c r="O77" s="15">
        <v>94</v>
      </c>
      <c r="P77" s="6">
        <v>-99998</v>
      </c>
      <c r="Q77">
        <f t="shared" si="3"/>
        <v>-1.8518148148148148E-3</v>
      </c>
    </row>
    <row r="78" spans="1:17" x14ac:dyDescent="0.25">
      <c r="A78" s="15" t="s">
        <v>75</v>
      </c>
      <c r="B78" s="17">
        <v>2</v>
      </c>
      <c r="C78" s="17">
        <v>2</v>
      </c>
      <c r="D78" s="16">
        <f t="shared" si="2"/>
        <v>1.1815066666666667E-2</v>
      </c>
      <c r="E78" s="43">
        <v>1</v>
      </c>
      <c r="F78" s="41">
        <v>1949486</v>
      </c>
      <c r="G78" s="41">
        <v>165000000</v>
      </c>
      <c r="H78" s="15">
        <v>115</v>
      </c>
      <c r="I78" s="18">
        <v>66</v>
      </c>
      <c r="J78" s="15">
        <v>48</v>
      </c>
      <c r="K78" s="21">
        <v>19.62</v>
      </c>
      <c r="L78" s="21">
        <v>26.75</v>
      </c>
      <c r="M78" s="15">
        <v>1265.2</v>
      </c>
      <c r="N78" s="15">
        <v>0.2</v>
      </c>
      <c r="O78" s="15">
        <v>95</v>
      </c>
      <c r="P78" s="6">
        <v>-1847503</v>
      </c>
      <c r="Q78">
        <f t="shared" si="3"/>
        <v>-1.119698787878788E-2</v>
      </c>
    </row>
    <row r="79" spans="1:17" x14ac:dyDescent="0.25">
      <c r="A79" s="15" t="s">
        <v>76</v>
      </c>
      <c r="B79" s="17">
        <v>2</v>
      </c>
      <c r="C79" s="17">
        <v>2</v>
      </c>
      <c r="D79" s="16">
        <f t="shared" si="2"/>
        <v>2.9820045454545453E-2</v>
      </c>
      <c r="E79" s="43">
        <v>2</v>
      </c>
      <c r="F79" s="41">
        <v>656041</v>
      </c>
      <c r="G79" s="41">
        <v>22000000</v>
      </c>
      <c r="H79" s="15">
        <v>129</v>
      </c>
      <c r="I79" s="18">
        <v>54</v>
      </c>
      <c r="J79" s="15">
        <v>71</v>
      </c>
      <c r="K79" s="21">
        <v>14.23</v>
      </c>
      <c r="L79" s="21">
        <v>23.68</v>
      </c>
      <c r="M79" s="15">
        <v>341.5</v>
      </c>
      <c r="N79" s="15">
        <v>0.37</v>
      </c>
      <c r="O79" s="15">
        <v>87</v>
      </c>
      <c r="P79" s="6">
        <v>-489932</v>
      </c>
      <c r="Q79">
        <f t="shared" si="3"/>
        <v>-2.2269636363636363E-2</v>
      </c>
    </row>
    <row r="80" spans="1:17" x14ac:dyDescent="0.25">
      <c r="A80" s="15" t="s">
        <v>77</v>
      </c>
      <c r="B80" s="17">
        <v>2</v>
      </c>
      <c r="C80" s="17">
        <v>1</v>
      </c>
      <c r="D80" s="16">
        <f t="shared" si="2"/>
        <v>4.8565980392156864E-3</v>
      </c>
      <c r="E80" s="43">
        <v>2</v>
      </c>
      <c r="F80" s="41">
        <v>495373</v>
      </c>
      <c r="G80" s="41">
        <v>102000000</v>
      </c>
      <c r="H80" s="15">
        <v>113</v>
      </c>
      <c r="I80" s="18">
        <v>55</v>
      </c>
      <c r="J80" s="15">
        <v>58</v>
      </c>
      <c r="K80" s="22">
        <v>19.62</v>
      </c>
      <c r="L80" s="21">
        <v>33.92</v>
      </c>
      <c r="M80" s="15">
        <v>102.8</v>
      </c>
      <c r="N80" s="15">
        <v>0.35</v>
      </c>
      <c r="O80" s="15">
        <v>94</v>
      </c>
      <c r="P80" s="6">
        <v>-275000</v>
      </c>
      <c r="Q80">
        <f t="shared" si="3"/>
        <v>-2.696078431372549E-3</v>
      </c>
    </row>
    <row r="81" spans="1:17" x14ac:dyDescent="0.25">
      <c r="A81" s="15" t="s">
        <v>78</v>
      </c>
      <c r="B81" s="17">
        <v>2</v>
      </c>
      <c r="C81" s="17">
        <v>1</v>
      </c>
      <c r="D81" s="16">
        <f t="shared" si="2"/>
        <v>8.5768999999999998E-2</v>
      </c>
      <c r="E81" s="43">
        <v>2</v>
      </c>
      <c r="F81" s="41">
        <v>1029228</v>
      </c>
      <c r="G81" s="41">
        <v>12000000</v>
      </c>
      <c r="H81" s="15">
        <v>107</v>
      </c>
      <c r="I81" s="18">
        <v>66</v>
      </c>
      <c r="J81" s="15">
        <v>69</v>
      </c>
      <c r="K81" s="21">
        <v>12.7</v>
      </c>
      <c r="L81" s="21">
        <v>23.94</v>
      </c>
      <c r="M81" s="15">
        <v>76.099999999999994</v>
      </c>
      <c r="N81" s="15">
        <v>0.33</v>
      </c>
      <c r="O81" s="15">
        <v>83</v>
      </c>
      <c r="P81" s="6">
        <v>-20000</v>
      </c>
      <c r="Q81">
        <f t="shared" si="3"/>
        <v>-1.6666666666666668E-3</v>
      </c>
    </row>
    <row r="82" spans="1:17" x14ac:dyDescent="0.25">
      <c r="A82" s="15" t="s">
        <v>79</v>
      </c>
      <c r="B82" s="17">
        <v>3</v>
      </c>
      <c r="C82" s="17">
        <v>2</v>
      </c>
      <c r="D82" s="16">
        <f t="shared" si="2"/>
        <v>9.6085914649187726E-2</v>
      </c>
      <c r="E82" s="43">
        <v>2</v>
      </c>
      <c r="F82" s="41">
        <v>272663</v>
      </c>
      <c r="G82" s="41">
        <v>2837700</v>
      </c>
      <c r="H82" s="15">
        <v>102</v>
      </c>
      <c r="I82" s="18">
        <v>54</v>
      </c>
      <c r="J82" s="15">
        <v>75</v>
      </c>
      <c r="K82" s="21">
        <v>1.59</v>
      </c>
      <c r="L82" s="21">
        <v>17.239999999999998</v>
      </c>
      <c r="M82" s="15">
        <v>105</v>
      </c>
      <c r="N82" s="15">
        <v>0.52</v>
      </c>
      <c r="O82" s="15">
        <v>80</v>
      </c>
      <c r="P82" s="6">
        <v>-40000</v>
      </c>
      <c r="Q82">
        <f t="shared" si="3"/>
        <v>-1.4095922754343307E-2</v>
      </c>
    </row>
    <row r="83" spans="1:17" x14ac:dyDescent="0.25">
      <c r="A83" s="15" t="s">
        <v>80</v>
      </c>
      <c r="B83" s="17">
        <v>2</v>
      </c>
      <c r="C83" s="17">
        <v>1</v>
      </c>
      <c r="D83" s="16">
        <f t="shared" si="2"/>
        <v>0.1654677</v>
      </c>
      <c r="E83" s="43">
        <v>2</v>
      </c>
      <c r="F83" s="41">
        <v>1654677</v>
      </c>
      <c r="G83" s="41">
        <v>10000000</v>
      </c>
      <c r="H83" s="15">
        <v>114</v>
      </c>
      <c r="I83" s="18">
        <v>53</v>
      </c>
      <c r="J83" s="15">
        <v>70</v>
      </c>
      <c r="K83" s="21">
        <v>13</v>
      </c>
      <c r="L83" s="21">
        <v>32.85</v>
      </c>
      <c r="M83" s="15">
        <v>115</v>
      </c>
      <c r="N83" s="15">
        <v>0.43</v>
      </c>
      <c r="O83" s="15">
        <v>93</v>
      </c>
      <c r="P83" s="6">
        <v>94477.33</v>
      </c>
      <c r="Q83">
        <f t="shared" si="3"/>
        <v>9.4477329999999998E-3</v>
      </c>
    </row>
    <row r="84" spans="1:17" x14ac:dyDescent="0.25">
      <c r="A84" s="15" t="s">
        <v>81</v>
      </c>
      <c r="B84" s="17">
        <v>2</v>
      </c>
      <c r="C84" s="17">
        <v>1</v>
      </c>
      <c r="D84" s="16">
        <f t="shared" si="2"/>
        <v>0.17605358301659405</v>
      </c>
      <c r="E84" s="43">
        <v>2</v>
      </c>
      <c r="F84" s="41">
        <v>759636</v>
      </c>
      <c r="G84" s="41">
        <v>4314800</v>
      </c>
      <c r="H84" s="15">
        <v>113</v>
      </c>
      <c r="I84" s="18">
        <v>53</v>
      </c>
      <c r="J84" s="15">
        <v>68</v>
      </c>
      <c r="K84" s="21">
        <v>22.08</v>
      </c>
      <c r="L84" s="21">
        <v>26.49</v>
      </c>
      <c r="M84" s="15">
        <v>45</v>
      </c>
      <c r="N84" s="15">
        <v>1.23</v>
      </c>
      <c r="O84" s="15">
        <v>80</v>
      </c>
      <c r="P84" s="6">
        <v>31448</v>
      </c>
      <c r="Q84">
        <f t="shared" si="3"/>
        <v>7.2884027069620837E-3</v>
      </c>
    </row>
    <row r="85" spans="1:17" x14ac:dyDescent="0.25">
      <c r="A85" s="15" t="s">
        <v>82</v>
      </c>
      <c r="B85" s="17">
        <v>1</v>
      </c>
      <c r="C85" s="17">
        <v>2</v>
      </c>
      <c r="D85" s="16">
        <f t="shared" si="2"/>
        <v>0.13788157746478874</v>
      </c>
      <c r="E85" s="43">
        <v>1</v>
      </c>
      <c r="F85" s="41">
        <v>29368776</v>
      </c>
      <c r="G85" s="41">
        <v>213000000</v>
      </c>
      <c r="H85" s="15">
        <v>99</v>
      </c>
      <c r="I85" s="18">
        <v>49</v>
      </c>
      <c r="J85" s="15">
        <v>64</v>
      </c>
      <c r="K85" s="21">
        <v>9.35</v>
      </c>
      <c r="L85" s="21">
        <v>20.71</v>
      </c>
      <c r="M85" s="15">
        <v>25.4</v>
      </c>
      <c r="N85" s="15">
        <v>0.68</v>
      </c>
      <c r="O85" s="15">
        <v>82</v>
      </c>
      <c r="P85" s="6">
        <v>30000</v>
      </c>
      <c r="Q85">
        <f t="shared" si="3"/>
        <v>1.4084507042253522E-4</v>
      </c>
    </row>
    <row r="86" spans="1:17" x14ac:dyDescent="0.25">
      <c r="A86" s="15" t="s">
        <v>83</v>
      </c>
      <c r="B86" s="17">
        <v>2</v>
      </c>
      <c r="C86" s="17">
        <v>1</v>
      </c>
      <c r="D86" s="16">
        <f t="shared" si="2"/>
        <v>3.1407999999999998E-2</v>
      </c>
      <c r="E86" s="43">
        <v>1</v>
      </c>
      <c r="F86" s="41">
        <v>1162096</v>
      </c>
      <c r="G86" s="41">
        <v>37000000</v>
      </c>
      <c r="H86" s="15">
        <v>107</v>
      </c>
      <c r="I86" s="18">
        <v>53</v>
      </c>
      <c r="J86" s="15">
        <v>58</v>
      </c>
      <c r="K86" s="21">
        <v>9.3699999999999992</v>
      </c>
      <c r="L86" s="21">
        <v>26.77</v>
      </c>
      <c r="M86" s="15">
        <v>82.7</v>
      </c>
      <c r="N86" s="15">
        <v>0.3</v>
      </c>
      <c r="O86" s="15">
        <v>94</v>
      </c>
      <c r="P86" s="6">
        <v>-257096</v>
      </c>
      <c r="Q86">
        <f t="shared" si="3"/>
        <v>-6.9485405405405407E-3</v>
      </c>
    </row>
    <row r="87" spans="1:17" x14ac:dyDescent="0.25">
      <c r="A87" s="15" t="s">
        <v>84</v>
      </c>
      <c r="B87" s="17">
        <v>2</v>
      </c>
      <c r="C87" s="17">
        <v>2</v>
      </c>
      <c r="D87" s="16">
        <f t="shared" si="2"/>
        <v>6.0325454545454545E-3</v>
      </c>
      <c r="E87" s="43">
        <v>1</v>
      </c>
      <c r="F87" s="41">
        <v>265432</v>
      </c>
      <c r="G87" s="41">
        <v>44000000</v>
      </c>
      <c r="H87" s="15">
        <v>107</v>
      </c>
      <c r="I87" s="18">
        <v>52</v>
      </c>
      <c r="J87" s="15">
        <v>63</v>
      </c>
      <c r="K87" s="21">
        <v>11.77</v>
      </c>
      <c r="L87" s="21">
        <v>30.78</v>
      </c>
      <c r="M87" s="15">
        <v>18.399999999999999</v>
      </c>
      <c r="N87" s="15">
        <v>0.33</v>
      </c>
      <c r="O87" s="15">
        <v>80</v>
      </c>
      <c r="P87" s="6">
        <v>94477.33</v>
      </c>
      <c r="Q87">
        <f t="shared" si="3"/>
        <v>2.1472120454545454E-3</v>
      </c>
    </row>
    <row r="88" spans="1:17" x14ac:dyDescent="0.25">
      <c r="A88" s="15" t="s">
        <v>85</v>
      </c>
      <c r="B88" s="17">
        <v>3</v>
      </c>
      <c r="C88" s="17">
        <v>1</v>
      </c>
      <c r="D88" s="16">
        <f t="shared" si="2"/>
        <v>4.2074288714334752E-2</v>
      </c>
      <c r="E88" s="43">
        <v>2</v>
      </c>
      <c r="F88" s="41">
        <v>416729</v>
      </c>
      <c r="G88" s="41">
        <v>9904600</v>
      </c>
      <c r="H88" s="15">
        <v>102</v>
      </c>
      <c r="I88" s="18">
        <v>52</v>
      </c>
      <c r="J88" s="15">
        <v>47</v>
      </c>
      <c r="K88" s="21">
        <v>3.54</v>
      </c>
      <c r="L88" s="21">
        <v>30.59</v>
      </c>
      <c r="M88" s="15">
        <v>88.5</v>
      </c>
      <c r="N88" s="15">
        <v>0.24</v>
      </c>
      <c r="O88" s="15">
        <v>93</v>
      </c>
      <c r="P88" s="6">
        <v>-14001</v>
      </c>
      <c r="Q88">
        <f t="shared" si="3"/>
        <v>-1.4135856066878015E-3</v>
      </c>
    </row>
    <row r="89" spans="1:17" x14ac:dyDescent="0.25">
      <c r="A89" s="15" t="s">
        <v>86</v>
      </c>
      <c r="B89" s="17">
        <v>2</v>
      </c>
      <c r="C89" s="17">
        <v>1</v>
      </c>
      <c r="D89" s="16">
        <f t="shared" si="2"/>
        <v>9.0554924640729062E-2</v>
      </c>
      <c r="E89" s="43">
        <v>2</v>
      </c>
      <c r="F89" s="41">
        <v>645883</v>
      </c>
      <c r="G89" s="41">
        <v>7132500</v>
      </c>
      <c r="H89" s="15">
        <v>98</v>
      </c>
      <c r="I89" s="18">
        <v>52</v>
      </c>
      <c r="J89" s="15">
        <v>57</v>
      </c>
      <c r="K89" s="21">
        <v>7.86</v>
      </c>
      <c r="L89" s="21">
        <v>28.89</v>
      </c>
      <c r="M89" s="15">
        <v>18</v>
      </c>
      <c r="N89" s="15">
        <v>0.49</v>
      </c>
      <c r="O89" s="15">
        <v>80</v>
      </c>
      <c r="P89" s="6">
        <v>-82780</v>
      </c>
      <c r="Q89">
        <f t="shared" si="3"/>
        <v>-1.1606028741675429E-2</v>
      </c>
    </row>
    <row r="90" spans="1:17" x14ac:dyDescent="0.25">
      <c r="A90" s="15" t="s">
        <v>87</v>
      </c>
      <c r="B90" s="17">
        <v>2</v>
      </c>
      <c r="C90" s="17">
        <v>1</v>
      </c>
      <c r="D90" s="16">
        <f t="shared" si="2"/>
        <v>0.10716654545454546</v>
      </c>
      <c r="E90" s="43">
        <v>1</v>
      </c>
      <c r="F90" s="41">
        <v>3536496</v>
      </c>
      <c r="G90" s="41">
        <v>33000000</v>
      </c>
      <c r="H90" s="15">
        <v>104</v>
      </c>
      <c r="I90" s="18">
        <v>51</v>
      </c>
      <c r="J90" s="15">
        <v>64</v>
      </c>
      <c r="K90" s="21">
        <v>16.62</v>
      </c>
      <c r="L90" s="21">
        <v>24.69</v>
      </c>
      <c r="M90" s="15">
        <v>25.8</v>
      </c>
      <c r="N90" s="15">
        <v>0.61</v>
      </c>
      <c r="O90" s="15">
        <v>80</v>
      </c>
      <c r="P90" s="6">
        <v>-179540</v>
      </c>
      <c r="Q90">
        <f t="shared" si="3"/>
        <v>-5.4406060606060607E-3</v>
      </c>
    </row>
    <row r="91" spans="1:17" x14ac:dyDescent="0.25">
      <c r="A91" s="15" t="s">
        <v>88</v>
      </c>
      <c r="B91" s="17">
        <v>2</v>
      </c>
      <c r="C91" s="17">
        <v>1</v>
      </c>
      <c r="D91" s="16">
        <f t="shared" si="2"/>
        <v>2.1498156934306571E-2</v>
      </c>
      <c r="E91" s="43">
        <v>2</v>
      </c>
      <c r="F91" s="41">
        <v>5890495</v>
      </c>
      <c r="G91" s="41">
        <v>274000000</v>
      </c>
      <c r="H91" s="15">
        <v>108</v>
      </c>
      <c r="I91" s="18">
        <v>51</v>
      </c>
      <c r="J91" s="15">
        <v>44</v>
      </c>
      <c r="K91" s="21">
        <v>6.4</v>
      </c>
      <c r="L91" s="21">
        <v>25.94</v>
      </c>
      <c r="M91" s="15">
        <v>151</v>
      </c>
      <c r="N91" s="15">
        <v>0.39</v>
      </c>
      <c r="O91" s="15">
        <v>91</v>
      </c>
      <c r="P91" s="6">
        <v>-825000</v>
      </c>
      <c r="Q91">
        <f t="shared" si="3"/>
        <v>-3.0109489051094889E-3</v>
      </c>
    </row>
    <row r="92" spans="1:17" x14ac:dyDescent="0.25">
      <c r="A92" s="15" t="s">
        <v>89</v>
      </c>
      <c r="B92" s="17">
        <v>3</v>
      </c>
      <c r="C92" s="17">
        <v>1</v>
      </c>
      <c r="D92" s="16">
        <f t="shared" si="2"/>
        <v>7.8863529411764711E-3</v>
      </c>
      <c r="E92" s="43">
        <v>1</v>
      </c>
      <c r="F92" s="41">
        <v>134068</v>
      </c>
      <c r="G92" s="41">
        <v>17000000</v>
      </c>
      <c r="H92" s="15">
        <v>114</v>
      </c>
      <c r="I92" s="18">
        <v>49</v>
      </c>
      <c r="J92" s="15">
        <v>39</v>
      </c>
      <c r="K92" s="21">
        <v>2.42</v>
      </c>
      <c r="L92" s="21">
        <v>30.92</v>
      </c>
      <c r="M92" s="15">
        <v>94.7</v>
      </c>
      <c r="N92" s="15">
        <v>0.15</v>
      </c>
      <c r="O92" s="15">
        <v>94</v>
      </c>
      <c r="P92" s="6">
        <v>-149999</v>
      </c>
      <c r="Q92">
        <f t="shared" si="3"/>
        <v>-8.8234705882352937E-3</v>
      </c>
    </row>
    <row r="93" spans="1:17" x14ac:dyDescent="0.25">
      <c r="A93" s="15"/>
      <c r="B93" s="17"/>
      <c r="C93" s="17"/>
      <c r="D93" s="16"/>
      <c r="E93" s="43"/>
      <c r="H93" s="15"/>
      <c r="I93" s="18"/>
      <c r="J93" s="15"/>
      <c r="M93" s="15"/>
      <c r="N93" s="15"/>
      <c r="O93" s="15"/>
    </row>
    <row r="94" spans="1:17" x14ac:dyDescent="0.25">
      <c r="A94" s="15"/>
      <c r="B94" s="17"/>
      <c r="C94" s="17"/>
      <c r="D94" s="16"/>
      <c r="E94" s="43"/>
      <c r="H94" s="15"/>
      <c r="I94" s="18"/>
      <c r="J94" s="15"/>
      <c r="M94" s="15"/>
      <c r="N94" s="15"/>
      <c r="O94" s="15"/>
    </row>
    <row r="95" spans="1:17" x14ac:dyDescent="0.25">
      <c r="A95" s="15"/>
      <c r="B95" s="17"/>
      <c r="C95" s="17"/>
      <c r="D95" s="15"/>
      <c r="E95" s="43"/>
      <c r="H95" s="15"/>
      <c r="I95" s="18"/>
      <c r="J95" s="15"/>
      <c r="M95" s="15"/>
      <c r="N95" s="15"/>
      <c r="O95" s="15"/>
    </row>
    <row r="96" spans="1:17" x14ac:dyDescent="0.25">
      <c r="A96" s="15"/>
      <c r="B96" s="17"/>
      <c r="C96" s="17"/>
      <c r="D96" s="15"/>
      <c r="E96" s="43"/>
      <c r="H96" s="15"/>
      <c r="I96" s="18"/>
      <c r="J96" s="15"/>
      <c r="M96" s="15"/>
      <c r="N96" s="15"/>
      <c r="O96" s="15"/>
    </row>
    <row r="97" spans="1:15" x14ac:dyDescent="0.25">
      <c r="A97" s="15"/>
      <c r="B97" s="17"/>
      <c r="C97" s="17"/>
      <c r="D97" s="15"/>
      <c r="E97" s="43"/>
      <c r="H97" s="15"/>
      <c r="I97" s="18"/>
      <c r="J97" s="15"/>
      <c r="M97" s="15"/>
      <c r="N97" s="15"/>
      <c r="O97" s="15"/>
    </row>
    <row r="98" spans="1:15" x14ac:dyDescent="0.25">
      <c r="A98" s="15"/>
      <c r="B98" s="17"/>
      <c r="C98" s="17"/>
      <c r="D98" s="15"/>
      <c r="E98" s="43"/>
      <c r="H98" s="15"/>
      <c r="I98" s="18"/>
      <c r="J98" s="15"/>
      <c r="M98" s="15"/>
      <c r="N98" s="15"/>
      <c r="O98" s="15"/>
    </row>
    <row r="99" spans="1:15" x14ac:dyDescent="0.25">
      <c r="A99" s="15"/>
      <c r="B99" s="17"/>
      <c r="C99" s="17"/>
      <c r="D99" s="15"/>
      <c r="E99" s="43"/>
      <c r="H99" s="15"/>
      <c r="I99" s="18"/>
      <c r="J99" s="15"/>
      <c r="M99" s="15"/>
      <c r="N99" s="15"/>
      <c r="O99" s="15"/>
    </row>
    <row r="100" spans="1:15" x14ac:dyDescent="0.25">
      <c r="A100" s="15"/>
      <c r="B100" s="17"/>
      <c r="C100" s="17"/>
      <c r="D100" s="15"/>
      <c r="E100" s="43"/>
      <c r="H100" s="15"/>
      <c r="I100" s="18"/>
      <c r="J100" s="15"/>
      <c r="M100" s="15"/>
      <c r="N100" s="15"/>
      <c r="O100" s="15"/>
    </row>
    <row r="101" spans="1:15" x14ac:dyDescent="0.25">
      <c r="A101" s="15"/>
      <c r="B101" s="17"/>
      <c r="C101" s="17"/>
      <c r="D101" s="15"/>
      <c r="E101" s="43"/>
      <c r="H101" s="15"/>
      <c r="I101" s="18"/>
      <c r="J101" s="15"/>
      <c r="M101" s="15"/>
      <c r="N101" s="15"/>
      <c r="O101" s="15"/>
    </row>
    <row r="102" spans="1:15" x14ac:dyDescent="0.25">
      <c r="A102" s="15"/>
      <c r="B102" s="17"/>
      <c r="C102" s="17"/>
      <c r="D102" s="15"/>
      <c r="E102" s="43"/>
      <c r="H102" s="15"/>
      <c r="I102" s="18"/>
      <c r="J102" s="15"/>
      <c r="M102" s="15"/>
      <c r="N102" s="15"/>
      <c r="O102" s="15"/>
    </row>
    <row r="103" spans="1:15" x14ac:dyDescent="0.25">
      <c r="A103" s="15"/>
      <c r="B103" s="17"/>
      <c r="C103" s="17"/>
      <c r="D103" s="15"/>
      <c r="E103" s="43"/>
      <c r="H103" s="15"/>
      <c r="I103" s="18"/>
      <c r="J103" s="15"/>
      <c r="M103" s="15"/>
      <c r="N103" s="15"/>
      <c r="O103" s="15"/>
    </row>
    <row r="104" spans="1:15" x14ac:dyDescent="0.25">
      <c r="A104" s="15"/>
      <c r="B104" s="17"/>
      <c r="C104" s="17"/>
      <c r="D104" s="15"/>
      <c r="E104" s="43"/>
      <c r="H104" s="15"/>
      <c r="I104" s="18"/>
      <c r="J104" s="15"/>
      <c r="M104" s="15"/>
      <c r="N104" s="15"/>
      <c r="O104" s="15"/>
    </row>
    <row r="105" spans="1:15" x14ac:dyDescent="0.25">
      <c r="A105" s="15"/>
      <c r="B105" s="17"/>
      <c r="C105" s="17"/>
      <c r="D105" s="15"/>
      <c r="E105" s="43"/>
      <c r="H105" s="15"/>
      <c r="I105" s="18"/>
      <c r="J105" s="15"/>
      <c r="M105" s="15"/>
      <c r="N105" s="15"/>
      <c r="O105" s="15"/>
    </row>
    <row r="106" spans="1:15" x14ac:dyDescent="0.25">
      <c r="A106" s="15"/>
      <c r="B106" s="17"/>
      <c r="C106" s="17"/>
      <c r="D106" s="15"/>
      <c r="E106" s="43"/>
      <c r="H106" s="15"/>
      <c r="I106" s="18"/>
      <c r="J106" s="15"/>
      <c r="M106" s="15"/>
      <c r="N106" s="15"/>
      <c r="O106" s="15"/>
    </row>
    <row r="107" spans="1:15" x14ac:dyDescent="0.25">
      <c r="A107" s="15"/>
      <c r="B107" s="17"/>
      <c r="C107" s="17"/>
      <c r="D107" s="15"/>
      <c r="E107" s="43"/>
      <c r="H107" s="15"/>
      <c r="I107" s="18"/>
      <c r="J107" s="15"/>
      <c r="M107" s="15"/>
      <c r="N107" s="15"/>
      <c r="O107" s="15"/>
    </row>
    <row r="108" spans="1:15" x14ac:dyDescent="0.25">
      <c r="A108" s="15"/>
      <c r="B108" s="17"/>
      <c r="C108" s="17"/>
      <c r="D108" s="15"/>
      <c r="E108" s="43"/>
      <c r="H108" s="15"/>
      <c r="I108" s="18"/>
      <c r="J108" s="15"/>
      <c r="M108" s="15"/>
      <c r="N108" s="15"/>
      <c r="O108" s="15"/>
    </row>
    <row r="109" spans="1:15" x14ac:dyDescent="0.25">
      <c r="A109" s="15"/>
      <c r="B109" s="17"/>
      <c r="C109" s="17"/>
      <c r="D109" s="15"/>
      <c r="E109" s="43"/>
      <c r="H109" s="15"/>
      <c r="I109" s="18"/>
      <c r="J109" s="15"/>
      <c r="M109" s="15"/>
      <c r="N109" s="15"/>
      <c r="O109" s="15"/>
    </row>
    <row r="110" spans="1:15" x14ac:dyDescent="0.25">
      <c r="A110" s="15"/>
      <c r="B110" s="17"/>
      <c r="C110" s="17"/>
      <c r="D110" s="15"/>
      <c r="E110" s="43"/>
      <c r="H110" s="15"/>
      <c r="I110" s="18"/>
      <c r="J110" s="15"/>
      <c r="M110" s="15"/>
      <c r="N110" s="15"/>
      <c r="O110" s="15"/>
    </row>
    <row r="111" spans="1:15" x14ac:dyDescent="0.25">
      <c r="A111" s="15"/>
      <c r="B111" s="17"/>
      <c r="C111" s="17"/>
      <c r="D111" s="15"/>
      <c r="E111" s="43"/>
      <c r="H111" s="15"/>
      <c r="I111" s="18"/>
      <c r="J111" s="15"/>
      <c r="M111" s="15"/>
      <c r="N111" s="15"/>
      <c r="O111" s="15"/>
    </row>
    <row r="112" spans="1:15" x14ac:dyDescent="0.25">
      <c r="A112" s="15"/>
      <c r="B112" s="17"/>
      <c r="C112" s="17"/>
      <c r="D112" s="15"/>
      <c r="E112" s="43"/>
      <c r="H112" s="15"/>
      <c r="I112" s="18"/>
      <c r="J112" s="15"/>
      <c r="M112" s="15"/>
      <c r="N112" s="15"/>
      <c r="O112" s="15"/>
    </row>
    <row r="113" spans="1:15" x14ac:dyDescent="0.25">
      <c r="A113" s="15"/>
      <c r="B113" s="17"/>
      <c r="C113" s="17"/>
      <c r="D113" s="15"/>
      <c r="E113" s="43"/>
      <c r="H113" s="15"/>
      <c r="I113" s="18"/>
      <c r="J113" s="15"/>
      <c r="M113" s="15"/>
      <c r="N113" s="15"/>
      <c r="O113" s="15"/>
    </row>
    <row r="114" spans="1:15" x14ac:dyDescent="0.25">
      <c r="A114" s="15"/>
      <c r="B114" s="17"/>
      <c r="C114" s="17"/>
      <c r="D114" s="15"/>
      <c r="E114" s="43"/>
      <c r="H114" s="15"/>
      <c r="I114" s="18"/>
      <c r="J114" s="15"/>
      <c r="M114" s="15"/>
      <c r="N114" s="15"/>
      <c r="O114" s="15"/>
    </row>
    <row r="115" spans="1:15" x14ac:dyDescent="0.25">
      <c r="A115" s="15"/>
      <c r="B115" s="17"/>
      <c r="C115" s="17"/>
      <c r="D115" s="15"/>
      <c r="E115" s="43"/>
      <c r="H115" s="15"/>
      <c r="I115" s="18"/>
      <c r="J115" s="15"/>
      <c r="M115" s="15"/>
      <c r="N115" s="15"/>
      <c r="O115" s="15"/>
    </row>
    <row r="116" spans="1:15" x14ac:dyDescent="0.25">
      <c r="A116" s="15"/>
      <c r="B116" s="17"/>
      <c r="C116" s="17"/>
      <c r="D116" s="15"/>
      <c r="E116" s="43"/>
      <c r="H116" s="15"/>
      <c r="I116" s="18"/>
      <c r="J116" s="15"/>
      <c r="M116" s="15"/>
      <c r="N116" s="15"/>
      <c r="O116" s="15"/>
    </row>
    <row r="117" spans="1:15" x14ac:dyDescent="0.25">
      <c r="A117" s="15"/>
      <c r="B117" s="17"/>
      <c r="C117" s="17"/>
      <c r="D117" s="15"/>
      <c r="E117" s="43"/>
      <c r="H117" s="15"/>
      <c r="I117" s="18"/>
      <c r="J117" s="15"/>
      <c r="M117" s="15"/>
      <c r="N117" s="15"/>
      <c r="O117" s="15"/>
    </row>
    <row r="118" spans="1:15" x14ac:dyDescent="0.25">
      <c r="A118" s="15"/>
      <c r="B118" s="17"/>
      <c r="C118" s="17"/>
      <c r="D118" s="15"/>
      <c r="E118" s="43"/>
      <c r="H118" s="15"/>
      <c r="I118" s="18"/>
      <c r="J118" s="15"/>
      <c r="M118" s="15"/>
      <c r="N118" s="15"/>
      <c r="O118" s="15"/>
    </row>
    <row r="119" spans="1:15" x14ac:dyDescent="0.25">
      <c r="A119" s="15"/>
      <c r="B119" s="17"/>
      <c r="C119" s="17"/>
      <c r="D119" s="15"/>
      <c r="E119" s="43"/>
      <c r="H119" s="15"/>
      <c r="I119" s="18"/>
      <c r="J119" s="15"/>
      <c r="M119" s="15"/>
      <c r="N119" s="15"/>
      <c r="O119" s="15"/>
    </row>
    <row r="120" spans="1:15" x14ac:dyDescent="0.25">
      <c r="A120" s="15"/>
      <c r="B120" s="17"/>
      <c r="C120" s="17"/>
      <c r="D120" s="15"/>
      <c r="E120" s="43"/>
      <c r="H120" s="15"/>
      <c r="I120" s="18"/>
      <c r="J120" s="15"/>
      <c r="M120" s="15"/>
      <c r="N120" s="15"/>
      <c r="O120" s="15"/>
    </row>
    <row r="121" spans="1:15" x14ac:dyDescent="0.25">
      <c r="A121" s="15"/>
      <c r="B121" s="17"/>
      <c r="C121" s="17"/>
      <c r="D121" s="15"/>
      <c r="E121" s="43"/>
      <c r="H121" s="15"/>
      <c r="I121" s="18"/>
      <c r="J121" s="15"/>
      <c r="M121" s="15"/>
      <c r="N121" s="15"/>
      <c r="O121" s="15"/>
    </row>
    <row r="122" spans="1:15" x14ac:dyDescent="0.25">
      <c r="A122" s="15"/>
      <c r="B122" s="17"/>
      <c r="C122" s="17"/>
      <c r="D122" s="15"/>
      <c r="E122" s="43"/>
      <c r="H122" s="15"/>
      <c r="I122" s="18"/>
      <c r="J122" s="15"/>
      <c r="M122" s="15"/>
      <c r="N122" s="15"/>
      <c r="O122" s="15"/>
    </row>
    <row r="123" spans="1:15" x14ac:dyDescent="0.25">
      <c r="A123" s="15"/>
      <c r="B123" s="17"/>
      <c r="C123" s="17"/>
      <c r="D123" s="15"/>
      <c r="E123" s="43"/>
      <c r="H123" s="15"/>
      <c r="I123" s="18"/>
      <c r="J123" s="15"/>
      <c r="M123" s="15"/>
      <c r="N123" s="15"/>
      <c r="O123" s="15"/>
    </row>
    <row r="124" spans="1:15" x14ac:dyDescent="0.25">
      <c r="A124" s="15"/>
      <c r="B124" s="17"/>
      <c r="C124" s="17"/>
      <c r="D124" s="15"/>
      <c r="E124" s="43"/>
      <c r="H124" s="15"/>
      <c r="I124" s="18"/>
      <c r="J124" s="15"/>
      <c r="M124" s="15"/>
      <c r="N124" s="15"/>
      <c r="O124" s="15"/>
    </row>
    <row r="125" spans="1:15" x14ac:dyDescent="0.25">
      <c r="A125" s="15"/>
      <c r="B125" s="17"/>
      <c r="C125" s="17"/>
      <c r="D125" s="15"/>
      <c r="E125" s="43"/>
      <c r="H125" s="15"/>
      <c r="I125" s="18"/>
      <c r="J125" s="15"/>
      <c r="M125" s="15"/>
      <c r="N125" s="15"/>
      <c r="O125" s="15"/>
    </row>
    <row r="126" spans="1:15" x14ac:dyDescent="0.25">
      <c r="A126" s="15"/>
      <c r="B126" s="17"/>
      <c r="C126" s="17"/>
      <c r="D126" s="15"/>
      <c r="E126" s="43"/>
      <c r="H126" s="15"/>
      <c r="I126" s="18"/>
      <c r="J126" s="15"/>
      <c r="M126" s="15"/>
      <c r="N126" s="15"/>
      <c r="O126" s="15"/>
    </row>
    <row r="127" spans="1:15" x14ac:dyDescent="0.25">
      <c r="A127" s="15"/>
      <c r="B127" s="17"/>
      <c r="C127" s="17"/>
      <c r="D127" s="15"/>
      <c r="E127" s="43"/>
      <c r="H127" s="15"/>
      <c r="I127" s="18"/>
      <c r="J127" s="15"/>
      <c r="M127" s="15"/>
      <c r="N127" s="15"/>
      <c r="O127" s="15"/>
    </row>
    <row r="128" spans="1:15" x14ac:dyDescent="0.25">
      <c r="A128" s="15"/>
      <c r="B128" s="17"/>
      <c r="C128" s="17"/>
      <c r="D128" s="15"/>
      <c r="E128" s="43"/>
      <c r="H128" s="15"/>
      <c r="I128" s="18"/>
      <c r="J128" s="15"/>
      <c r="M128" s="15"/>
      <c r="N128" s="15"/>
      <c r="O128" s="15"/>
    </row>
    <row r="129" spans="1:15" x14ac:dyDescent="0.25">
      <c r="A129" s="15"/>
      <c r="B129" s="17"/>
      <c r="C129" s="17"/>
      <c r="D129" s="15"/>
      <c r="E129" s="43"/>
      <c r="H129" s="15"/>
      <c r="I129" s="18"/>
      <c r="J129" s="15"/>
      <c r="M129" s="15"/>
      <c r="N129" s="15"/>
      <c r="O129" s="15"/>
    </row>
    <row r="130" spans="1:15" x14ac:dyDescent="0.25">
      <c r="A130" s="15"/>
      <c r="B130" s="17"/>
      <c r="C130" s="17"/>
      <c r="D130" s="15"/>
      <c r="E130" s="43"/>
      <c r="H130" s="15"/>
      <c r="I130" s="18"/>
      <c r="J130" s="15"/>
      <c r="M130" s="15"/>
      <c r="N130" s="15"/>
      <c r="O130" s="15"/>
    </row>
    <row r="131" spans="1:15" x14ac:dyDescent="0.25">
      <c r="A131" s="15"/>
      <c r="B131" s="17"/>
      <c r="C131" s="17"/>
      <c r="D131" s="15"/>
      <c r="E131" s="43"/>
      <c r="H131" s="15"/>
      <c r="I131" s="18"/>
      <c r="J131" s="15"/>
      <c r="M131" s="15"/>
      <c r="N131" s="15"/>
      <c r="O131" s="15"/>
    </row>
    <row r="132" spans="1:15" x14ac:dyDescent="0.25">
      <c r="A132" s="15"/>
      <c r="B132" s="17"/>
      <c r="C132" s="17"/>
      <c r="D132" s="15"/>
      <c r="E132" s="43"/>
      <c r="H132" s="15"/>
      <c r="I132" s="18"/>
      <c r="J132" s="15"/>
      <c r="M132" s="15"/>
      <c r="N132" s="15"/>
      <c r="O132" s="15"/>
    </row>
    <row r="133" spans="1:15" x14ac:dyDescent="0.25">
      <c r="A133" s="15"/>
      <c r="B133" s="17"/>
      <c r="C133" s="17"/>
      <c r="D133" s="15"/>
      <c r="E133" s="43"/>
      <c r="H133" s="15"/>
      <c r="I133" s="18"/>
      <c r="J133" s="15"/>
      <c r="M133" s="15"/>
      <c r="N133" s="15"/>
      <c r="O133" s="15"/>
    </row>
    <row r="134" spans="1:15" x14ac:dyDescent="0.25">
      <c r="A134" s="15"/>
      <c r="B134" s="17"/>
      <c r="C134" s="17"/>
      <c r="D134" s="15"/>
      <c r="E134" s="43"/>
      <c r="H134" s="15"/>
      <c r="I134" s="18"/>
      <c r="J134" s="15"/>
      <c r="M134" s="15"/>
      <c r="N134" s="15"/>
      <c r="O134" s="15"/>
    </row>
    <row r="135" spans="1:15" x14ac:dyDescent="0.25">
      <c r="A135" s="15"/>
      <c r="B135" s="17"/>
      <c r="C135" s="17"/>
      <c r="D135" s="15"/>
      <c r="E135" s="43"/>
      <c r="H135" s="15"/>
      <c r="I135" s="18"/>
      <c r="J135" s="15"/>
      <c r="M135" s="15"/>
      <c r="N135" s="15"/>
      <c r="O135" s="15"/>
    </row>
    <row r="136" spans="1:15" x14ac:dyDescent="0.25">
      <c r="A136" s="15"/>
      <c r="B136" s="17"/>
      <c r="C136" s="17"/>
      <c r="D136" s="15"/>
      <c r="E136" s="43"/>
      <c r="H136" s="15"/>
      <c r="I136" s="18"/>
      <c r="J136" s="15"/>
      <c r="M136" s="15"/>
      <c r="N136" s="15"/>
      <c r="O136" s="15"/>
    </row>
    <row r="137" spans="1:15" x14ac:dyDescent="0.25">
      <c r="A137" s="15"/>
      <c r="B137" s="17"/>
      <c r="C137" s="17"/>
      <c r="D137" s="15"/>
      <c r="E137" s="43"/>
      <c r="H137" s="15"/>
      <c r="I137" s="18"/>
      <c r="J137" s="15"/>
      <c r="M137" s="15"/>
      <c r="N137" s="15"/>
      <c r="O137" s="15"/>
    </row>
    <row r="138" spans="1:15" x14ac:dyDescent="0.25">
      <c r="A138" s="15"/>
      <c r="B138" s="17"/>
      <c r="C138" s="17"/>
      <c r="D138" s="15"/>
      <c r="E138" s="43"/>
      <c r="H138" s="15"/>
      <c r="I138" s="18"/>
      <c r="J138" s="15"/>
      <c r="M138" s="15"/>
      <c r="N138" s="15"/>
      <c r="O138" s="15"/>
    </row>
    <row r="139" spans="1:15" x14ac:dyDescent="0.25">
      <c r="A139" s="15"/>
      <c r="B139" s="17"/>
      <c r="C139" s="17"/>
      <c r="D139" s="15"/>
      <c r="E139" s="43"/>
      <c r="H139" s="15"/>
      <c r="I139" s="18"/>
      <c r="J139" s="15"/>
      <c r="M139" s="15"/>
      <c r="N139" s="15"/>
      <c r="O139" s="15"/>
    </row>
    <row r="140" spans="1:15" x14ac:dyDescent="0.25">
      <c r="A140" s="15"/>
      <c r="B140" s="17"/>
      <c r="C140" s="17"/>
      <c r="D140" s="15"/>
      <c r="E140" s="43"/>
      <c r="H140" s="15"/>
      <c r="I140" s="18"/>
      <c r="J140" s="15"/>
      <c r="M140" s="15"/>
      <c r="N140" s="15"/>
      <c r="O140" s="15"/>
    </row>
    <row r="141" spans="1:15" x14ac:dyDescent="0.25">
      <c r="A141" s="15"/>
      <c r="B141" s="17"/>
      <c r="C141" s="17"/>
      <c r="D141" s="15"/>
      <c r="E141" s="43"/>
      <c r="H141" s="15"/>
      <c r="I141" s="18"/>
      <c r="J141" s="15"/>
      <c r="M141" s="15"/>
      <c r="N141" s="15"/>
      <c r="O141" s="15"/>
    </row>
    <row r="142" spans="1:15" x14ac:dyDescent="0.25">
      <c r="A142" s="15"/>
      <c r="B142" s="17"/>
      <c r="C142" s="17"/>
      <c r="D142" s="15"/>
      <c r="E142" s="43"/>
      <c r="H142" s="15"/>
      <c r="I142" s="18"/>
      <c r="J142" s="15"/>
      <c r="M142" s="15"/>
      <c r="N142" s="15"/>
      <c r="O142" s="15"/>
    </row>
    <row r="143" spans="1:15" x14ac:dyDescent="0.25">
      <c r="A143" s="15"/>
      <c r="B143" s="17"/>
      <c r="C143" s="17"/>
      <c r="D143" s="15"/>
      <c r="E143" s="43"/>
      <c r="H143" s="15"/>
      <c r="I143" s="18"/>
      <c r="J143" s="15"/>
      <c r="M143" s="15"/>
      <c r="N143" s="15"/>
      <c r="O143" s="15"/>
    </row>
    <row r="144" spans="1:15" x14ac:dyDescent="0.25">
      <c r="A144" s="15"/>
      <c r="B144" s="17"/>
      <c r="C144" s="17"/>
      <c r="D144" s="15"/>
      <c r="E144" s="43"/>
      <c r="H144" s="15"/>
      <c r="I144" s="18"/>
      <c r="J144" s="15"/>
      <c r="M144" s="15"/>
      <c r="N144" s="15"/>
      <c r="O144" s="15"/>
    </row>
    <row r="145" spans="1:15" x14ac:dyDescent="0.25">
      <c r="A145" s="15"/>
      <c r="B145" s="17"/>
      <c r="C145" s="17"/>
      <c r="D145" s="15"/>
      <c r="E145" s="43"/>
      <c r="H145" s="15"/>
      <c r="I145" s="18"/>
      <c r="J145" s="15"/>
      <c r="M145" s="15"/>
      <c r="N145" s="15"/>
      <c r="O145" s="15"/>
    </row>
    <row r="146" spans="1:15" x14ac:dyDescent="0.25">
      <c r="A146" s="15"/>
      <c r="B146" s="17"/>
      <c r="C146" s="17"/>
      <c r="D146" s="15"/>
      <c r="E146" s="43"/>
      <c r="H146" s="15"/>
      <c r="I146" s="18"/>
      <c r="J146" s="15"/>
      <c r="M146" s="15"/>
      <c r="N146" s="15"/>
      <c r="O146" s="15"/>
    </row>
    <row r="147" spans="1:15" x14ac:dyDescent="0.25">
      <c r="A147" s="15"/>
      <c r="B147" s="17"/>
      <c r="C147" s="17"/>
      <c r="D147" s="15"/>
      <c r="E147" s="43"/>
      <c r="H147" s="15"/>
      <c r="I147" s="18"/>
      <c r="J147" s="15"/>
      <c r="M147" s="15"/>
      <c r="N147" s="15"/>
      <c r="O147" s="15"/>
    </row>
    <row r="148" spans="1:15" x14ac:dyDescent="0.25">
      <c r="A148" s="15"/>
      <c r="B148" s="17"/>
      <c r="C148" s="17"/>
      <c r="D148" s="15"/>
      <c r="E148" s="43"/>
      <c r="H148" s="15"/>
      <c r="I148" s="18"/>
      <c r="J148" s="15"/>
      <c r="M148" s="15"/>
      <c r="N148" s="15"/>
      <c r="O148" s="15"/>
    </row>
    <row r="149" spans="1:15" x14ac:dyDescent="0.25">
      <c r="A149" s="15"/>
      <c r="B149" s="17"/>
      <c r="C149" s="17"/>
      <c r="D149" s="15"/>
      <c r="E149" s="43"/>
      <c r="H149" s="15"/>
      <c r="I149" s="18"/>
      <c r="J149" s="15"/>
      <c r="M149" s="15"/>
      <c r="N149" s="15"/>
      <c r="O149" s="15"/>
    </row>
    <row r="150" spans="1:15" x14ac:dyDescent="0.25">
      <c r="A150" s="15"/>
      <c r="B150" s="17"/>
      <c r="C150" s="17"/>
      <c r="D150" s="15"/>
      <c r="E150" s="43"/>
      <c r="H150" s="15"/>
      <c r="I150" s="18"/>
      <c r="J150" s="15"/>
      <c r="M150" s="15"/>
      <c r="N150" s="15"/>
      <c r="O150" s="15"/>
    </row>
    <row r="151" spans="1:15" x14ac:dyDescent="0.25">
      <c r="A151" s="15"/>
      <c r="B151" s="17"/>
      <c r="C151" s="17"/>
      <c r="D151" s="15"/>
      <c r="E151" s="43"/>
      <c r="H151" s="15"/>
      <c r="I151" s="18"/>
      <c r="J151" s="15"/>
      <c r="M151" s="15"/>
      <c r="N151" s="15"/>
      <c r="O151" s="15"/>
    </row>
    <row r="152" spans="1:15" x14ac:dyDescent="0.25">
      <c r="A152" s="15"/>
      <c r="B152" s="17"/>
      <c r="C152" s="17"/>
      <c r="D152" s="15"/>
      <c r="E152" s="43"/>
      <c r="H152" s="15"/>
      <c r="I152" s="18"/>
      <c r="J152" s="15"/>
      <c r="M152" s="15"/>
      <c r="N152" s="15"/>
      <c r="O152" s="15"/>
    </row>
    <row r="153" spans="1:15" x14ac:dyDescent="0.25">
      <c r="A153" s="15"/>
      <c r="B153" s="17"/>
      <c r="C153" s="17"/>
      <c r="D153" s="15"/>
      <c r="E153" s="43"/>
      <c r="H153" s="15"/>
      <c r="I153" s="18"/>
      <c r="J153" s="15"/>
      <c r="M153" s="15"/>
      <c r="N153" s="15"/>
      <c r="O153" s="15"/>
    </row>
    <row r="154" spans="1:15" x14ac:dyDescent="0.25">
      <c r="A154" s="15"/>
      <c r="B154" s="17"/>
      <c r="C154" s="17"/>
      <c r="D154" s="15"/>
      <c r="E154" s="43"/>
      <c r="H154" s="15"/>
      <c r="I154" s="18"/>
      <c r="J154" s="15"/>
      <c r="M154" s="15"/>
      <c r="N154" s="15"/>
      <c r="O154" s="15"/>
    </row>
    <row r="155" spans="1:15" x14ac:dyDescent="0.25">
      <c r="A155" s="15"/>
      <c r="B155" s="17"/>
      <c r="C155" s="17"/>
      <c r="D155" s="15"/>
      <c r="E155" s="43"/>
      <c r="H155" s="15"/>
      <c r="I155" s="18"/>
      <c r="J155" s="15"/>
      <c r="M155" s="15"/>
      <c r="N155" s="15"/>
      <c r="O155" s="15"/>
    </row>
    <row r="156" spans="1:15" x14ac:dyDescent="0.25">
      <c r="A156" s="15"/>
      <c r="B156" s="17"/>
      <c r="C156" s="17"/>
      <c r="D156" s="15"/>
      <c r="E156" s="43"/>
      <c r="H156" s="15"/>
      <c r="I156" s="18"/>
      <c r="J156" s="15"/>
      <c r="M156" s="15"/>
      <c r="N156" s="15"/>
      <c r="O156" s="15"/>
    </row>
    <row r="157" spans="1:15" x14ac:dyDescent="0.25">
      <c r="A157" s="15"/>
      <c r="B157" s="17"/>
      <c r="C157" s="17"/>
      <c r="D157" s="15"/>
      <c r="E157" s="43"/>
      <c r="H157" s="15"/>
      <c r="I157" s="18"/>
      <c r="J157" s="15"/>
      <c r="M157" s="15"/>
      <c r="N157" s="15"/>
      <c r="O157" s="15"/>
    </row>
    <row r="158" spans="1:15" x14ac:dyDescent="0.25">
      <c r="A158" s="15"/>
      <c r="B158" s="17"/>
      <c r="C158" s="17"/>
      <c r="D158" s="15"/>
      <c r="E158" s="43"/>
      <c r="H158" s="15"/>
      <c r="I158" s="18"/>
      <c r="J158" s="15"/>
      <c r="M158" s="15"/>
      <c r="N158" s="15"/>
      <c r="O158" s="15"/>
    </row>
    <row r="159" spans="1:15" x14ac:dyDescent="0.25">
      <c r="A159" s="15"/>
      <c r="B159" s="17"/>
      <c r="C159" s="17"/>
      <c r="D159" s="15"/>
      <c r="E159" s="43"/>
      <c r="H159" s="15"/>
      <c r="I159" s="18"/>
      <c r="J159" s="15"/>
      <c r="M159" s="15"/>
      <c r="N159" s="15"/>
      <c r="O159" s="15"/>
    </row>
    <row r="160" spans="1:15" x14ac:dyDescent="0.25">
      <c r="A160" s="15"/>
      <c r="B160" s="17"/>
      <c r="C160" s="17"/>
      <c r="D160" s="15"/>
      <c r="E160" s="43"/>
      <c r="H160" s="15"/>
      <c r="I160" s="18"/>
      <c r="J160" s="15"/>
      <c r="M160" s="15"/>
      <c r="N160" s="15"/>
      <c r="O160" s="15"/>
    </row>
    <row r="161" spans="1:15" x14ac:dyDescent="0.25">
      <c r="A161" s="15"/>
      <c r="B161" s="17"/>
      <c r="C161" s="17"/>
      <c r="D161" s="15"/>
      <c r="E161" s="43"/>
      <c r="H161" s="15"/>
      <c r="I161" s="18"/>
      <c r="J161" s="15"/>
      <c r="M161" s="15"/>
      <c r="N161" s="15"/>
      <c r="O161" s="15"/>
    </row>
    <row r="162" spans="1:15" x14ac:dyDescent="0.25">
      <c r="A162" s="15"/>
      <c r="B162" s="17"/>
      <c r="C162" s="17"/>
      <c r="D162" s="15"/>
      <c r="E162" s="43"/>
      <c r="H162" s="15"/>
      <c r="I162" s="18"/>
      <c r="J162" s="15"/>
      <c r="M162" s="15"/>
      <c r="N162" s="15"/>
      <c r="O162" s="15"/>
    </row>
    <row r="163" spans="1:15" x14ac:dyDescent="0.25">
      <c r="A163" s="15"/>
      <c r="B163" s="17"/>
      <c r="C163" s="17"/>
      <c r="D163" s="15"/>
      <c r="E163" s="43"/>
      <c r="H163" s="15"/>
      <c r="I163" s="18"/>
      <c r="J163" s="15"/>
      <c r="M163" s="15"/>
      <c r="N163" s="15"/>
      <c r="O163" s="15"/>
    </row>
    <row r="164" spans="1:15" x14ac:dyDescent="0.25">
      <c r="A164" s="15"/>
      <c r="B164" s="17"/>
      <c r="C164" s="17"/>
      <c r="D164" s="15"/>
      <c r="E164" s="43"/>
      <c r="H164" s="15"/>
      <c r="I164" s="18"/>
      <c r="J164" s="15"/>
      <c r="M164" s="15"/>
      <c r="N164" s="15"/>
      <c r="O164" s="15"/>
    </row>
    <row r="165" spans="1:15" x14ac:dyDescent="0.25">
      <c r="A165" s="15"/>
      <c r="B165" s="17"/>
      <c r="C165" s="17"/>
      <c r="D165" s="15"/>
      <c r="E165" s="43"/>
      <c r="H165" s="15"/>
      <c r="I165" s="18"/>
      <c r="J165" s="15"/>
      <c r="M165" s="15"/>
      <c r="N165" s="15"/>
      <c r="O165" s="15"/>
    </row>
    <row r="166" spans="1:15" x14ac:dyDescent="0.25">
      <c r="A166" s="15"/>
      <c r="B166" s="17"/>
      <c r="C166" s="17"/>
      <c r="D166" s="15"/>
      <c r="E166" s="43"/>
      <c r="H166" s="15"/>
      <c r="I166" s="18"/>
      <c r="J166" s="15"/>
      <c r="M166" s="15"/>
      <c r="N166" s="15"/>
      <c r="O166" s="15"/>
    </row>
    <row r="167" spans="1:15" x14ac:dyDescent="0.25">
      <c r="A167" s="15"/>
      <c r="B167" s="17"/>
      <c r="C167" s="17"/>
      <c r="D167" s="15"/>
      <c r="E167" s="43"/>
      <c r="H167" s="15"/>
      <c r="I167" s="18"/>
      <c r="J167" s="15"/>
      <c r="M167" s="15"/>
      <c r="N167" s="15"/>
      <c r="O167" s="15"/>
    </row>
    <row r="168" spans="1:15" x14ac:dyDescent="0.25">
      <c r="A168" s="15"/>
      <c r="B168" s="17"/>
      <c r="C168" s="17"/>
      <c r="D168" s="15"/>
      <c r="E168" s="43"/>
      <c r="H168" s="15"/>
      <c r="I168" s="18"/>
      <c r="J168" s="15"/>
      <c r="M168" s="15"/>
      <c r="N168" s="15"/>
      <c r="O168" s="15"/>
    </row>
    <row r="169" spans="1:15" x14ac:dyDescent="0.25">
      <c r="A169" s="15"/>
      <c r="B169" s="17"/>
      <c r="C169" s="17"/>
      <c r="D169" s="15"/>
      <c r="E169" s="43"/>
      <c r="H169" s="15"/>
      <c r="I169" s="18"/>
      <c r="J169" s="15"/>
      <c r="M169" s="15"/>
      <c r="N169" s="15"/>
      <c r="O169" s="15"/>
    </row>
    <row r="170" spans="1:15" x14ac:dyDescent="0.25">
      <c r="A170" s="15"/>
      <c r="B170" s="17"/>
      <c r="C170" s="17"/>
      <c r="D170" s="15"/>
      <c r="E170" s="43"/>
      <c r="H170" s="15"/>
      <c r="I170" s="18"/>
      <c r="J170" s="15"/>
      <c r="M170" s="15"/>
      <c r="N170" s="15"/>
      <c r="O170" s="15"/>
    </row>
    <row r="171" spans="1:15" x14ac:dyDescent="0.25">
      <c r="A171" s="15"/>
      <c r="B171" s="17"/>
      <c r="C171" s="17"/>
      <c r="D171" s="15"/>
      <c r="E171" s="43"/>
      <c r="H171" s="15"/>
      <c r="I171" s="18"/>
      <c r="J171" s="15"/>
      <c r="M171" s="15"/>
      <c r="N171" s="15"/>
      <c r="O171" s="15"/>
    </row>
    <row r="172" spans="1:15" x14ac:dyDescent="0.25">
      <c r="A172" s="15"/>
      <c r="B172" s="17"/>
      <c r="C172" s="17"/>
      <c r="D172" s="15"/>
      <c r="E172" s="43"/>
      <c r="H172" s="15"/>
      <c r="I172" s="18"/>
      <c r="J172" s="15"/>
      <c r="M172" s="15"/>
      <c r="N172" s="15"/>
      <c r="O172" s="15"/>
    </row>
    <row r="173" spans="1:15" x14ac:dyDescent="0.25">
      <c r="A173" s="15"/>
      <c r="B173" s="17"/>
      <c r="C173" s="17"/>
      <c r="D173" s="15"/>
      <c r="E173" s="43"/>
      <c r="H173" s="15"/>
      <c r="I173" s="18"/>
      <c r="J173" s="15"/>
      <c r="M173" s="15"/>
      <c r="N173" s="15"/>
      <c r="O173" s="15"/>
    </row>
    <row r="174" spans="1:15" x14ac:dyDescent="0.25">
      <c r="A174" s="15"/>
      <c r="B174" s="17"/>
      <c r="C174" s="17"/>
      <c r="D174" s="15"/>
      <c r="E174" s="43"/>
      <c r="H174" s="15"/>
      <c r="I174" s="18"/>
      <c r="J174" s="15"/>
      <c r="M174" s="15"/>
      <c r="N174" s="15"/>
      <c r="O174" s="15"/>
    </row>
    <row r="175" spans="1:15" x14ac:dyDescent="0.25">
      <c r="A175" s="15"/>
      <c r="B175" s="17"/>
      <c r="C175" s="17"/>
      <c r="D175" s="15"/>
      <c r="E175" s="43"/>
      <c r="H175" s="15"/>
      <c r="I175" s="18"/>
      <c r="J175" s="15"/>
      <c r="M175" s="15"/>
      <c r="N175" s="15"/>
      <c r="O175" s="15"/>
    </row>
    <row r="176" spans="1:15" x14ac:dyDescent="0.25">
      <c r="A176" s="15"/>
      <c r="B176" s="17"/>
      <c r="C176" s="17"/>
      <c r="D176" s="15"/>
      <c r="E176" s="43"/>
      <c r="H176" s="15"/>
      <c r="I176" s="18"/>
      <c r="J176" s="15"/>
      <c r="M176" s="15"/>
      <c r="N176" s="15"/>
      <c r="O176" s="15"/>
    </row>
    <row r="177" spans="1:15" x14ac:dyDescent="0.25">
      <c r="A177" s="15"/>
      <c r="B177" s="17"/>
      <c r="C177" s="17"/>
      <c r="D177" s="15"/>
      <c r="E177" s="43"/>
      <c r="H177" s="15"/>
      <c r="I177" s="18"/>
      <c r="J177" s="15"/>
      <c r="M177" s="15"/>
      <c r="N177" s="15"/>
      <c r="O177" s="15"/>
    </row>
    <row r="178" spans="1:15" x14ac:dyDescent="0.25">
      <c r="A178" s="15"/>
      <c r="B178" s="17"/>
      <c r="C178" s="17"/>
      <c r="D178" s="15"/>
      <c r="E178" s="43"/>
      <c r="H178" s="15"/>
      <c r="I178" s="18"/>
      <c r="J178" s="15"/>
      <c r="M178" s="15"/>
      <c r="N178" s="15"/>
      <c r="O178" s="15"/>
    </row>
    <row r="179" spans="1:15" x14ac:dyDescent="0.25">
      <c r="A179" s="15"/>
      <c r="B179" s="17"/>
      <c r="C179" s="17"/>
      <c r="D179" s="15"/>
      <c r="E179" s="43"/>
      <c r="H179" s="15"/>
      <c r="I179" s="18"/>
      <c r="J179" s="15"/>
      <c r="M179" s="15"/>
      <c r="N179" s="15"/>
      <c r="O179" s="15"/>
    </row>
    <row r="180" spans="1:15" x14ac:dyDescent="0.25">
      <c r="A180" s="15"/>
      <c r="B180" s="17"/>
      <c r="C180" s="17"/>
      <c r="D180" s="15"/>
      <c r="E180" s="43"/>
      <c r="H180" s="15"/>
      <c r="I180" s="18"/>
      <c r="J180" s="15"/>
      <c r="M180" s="15"/>
      <c r="N180" s="15"/>
      <c r="O180" s="15"/>
    </row>
    <row r="181" spans="1:15" x14ac:dyDescent="0.25">
      <c r="A181" s="15"/>
      <c r="B181" s="17"/>
      <c r="C181" s="17"/>
      <c r="D181" s="15"/>
      <c r="E181" s="43"/>
      <c r="H181" s="15"/>
      <c r="I181" s="18"/>
      <c r="J181" s="15"/>
      <c r="M181" s="15"/>
      <c r="N181" s="15"/>
      <c r="O181" s="15"/>
    </row>
    <row r="182" spans="1:15" x14ac:dyDescent="0.25">
      <c r="A182" s="15"/>
      <c r="B182" s="17"/>
      <c r="C182" s="17"/>
      <c r="D182" s="15"/>
      <c r="E182" s="43"/>
      <c r="H182" s="15"/>
      <c r="I182" s="18"/>
      <c r="J182" s="15"/>
      <c r="M182" s="15"/>
      <c r="N182" s="15"/>
      <c r="O182" s="15"/>
    </row>
    <row r="183" spans="1:15" x14ac:dyDescent="0.25">
      <c r="A183" s="15"/>
      <c r="B183" s="17"/>
      <c r="C183" s="17"/>
      <c r="D183" s="15"/>
      <c r="E183" s="43"/>
      <c r="H183" s="15"/>
      <c r="I183" s="18"/>
      <c r="J183" s="15"/>
      <c r="M183" s="15"/>
      <c r="N183" s="15"/>
      <c r="O183" s="15"/>
    </row>
    <row r="184" spans="1:15" x14ac:dyDescent="0.25">
      <c r="A184" s="15"/>
      <c r="B184" s="17"/>
      <c r="C184" s="17"/>
      <c r="D184" s="15"/>
      <c r="E184" s="43"/>
      <c r="H184" s="15"/>
      <c r="I184" s="18"/>
      <c r="J184" s="15"/>
      <c r="M184" s="15"/>
      <c r="N184" s="15"/>
      <c r="O184" s="15"/>
    </row>
    <row r="185" spans="1:15" x14ac:dyDescent="0.25">
      <c r="A185" s="15"/>
      <c r="B185" s="17"/>
      <c r="C185" s="17"/>
      <c r="D185" s="15"/>
      <c r="E185" s="43"/>
      <c r="H185" s="15"/>
      <c r="I185" s="18"/>
      <c r="J185" s="15"/>
      <c r="M185" s="15"/>
      <c r="N185" s="15"/>
      <c r="O185" s="15"/>
    </row>
    <row r="186" spans="1:15" x14ac:dyDescent="0.25">
      <c r="A186" s="15"/>
      <c r="B186" s="17"/>
      <c r="C186" s="17"/>
      <c r="D186" s="15"/>
      <c r="E186" s="43"/>
      <c r="H186" s="15"/>
      <c r="I186" s="18"/>
      <c r="J186" s="15"/>
      <c r="M186" s="15"/>
      <c r="N186" s="15"/>
      <c r="O186" s="15"/>
    </row>
    <row r="187" spans="1:15" x14ac:dyDescent="0.25">
      <c r="A187" s="15"/>
      <c r="B187" s="17"/>
      <c r="C187" s="17"/>
      <c r="D187" s="15"/>
      <c r="E187" s="43"/>
      <c r="H187" s="15"/>
      <c r="I187" s="18"/>
      <c r="J187" s="15"/>
      <c r="M187" s="15"/>
      <c r="N187" s="15"/>
      <c r="O187" s="15"/>
    </row>
    <row r="188" spans="1:15" x14ac:dyDescent="0.25">
      <c r="A188" s="15"/>
      <c r="B188" s="17"/>
      <c r="C188" s="17"/>
      <c r="D188" s="15"/>
      <c r="E188" s="43"/>
      <c r="H188" s="15"/>
      <c r="I188" s="18"/>
      <c r="J188" s="15"/>
      <c r="M188" s="15"/>
      <c r="N188" s="15"/>
      <c r="O188" s="15"/>
    </row>
    <row r="189" spans="1:15" x14ac:dyDescent="0.25">
      <c r="A189" s="15"/>
      <c r="B189" s="17"/>
      <c r="C189" s="17"/>
      <c r="D189" s="15"/>
      <c r="E189" s="43"/>
      <c r="H189" s="15"/>
      <c r="I189" s="18"/>
      <c r="J189" s="15"/>
      <c r="M189" s="15"/>
      <c r="N189" s="15"/>
      <c r="O189" s="15"/>
    </row>
    <row r="190" spans="1:15" x14ac:dyDescent="0.25">
      <c r="A190" s="15"/>
      <c r="B190" s="17"/>
      <c r="C190" s="17"/>
      <c r="D190" s="15"/>
      <c r="E190" s="43"/>
      <c r="H190" s="15"/>
      <c r="I190" s="18"/>
      <c r="J190" s="15"/>
      <c r="M190" s="15"/>
      <c r="N190" s="15"/>
      <c r="O190" s="15"/>
    </row>
    <row r="191" spans="1:15" x14ac:dyDescent="0.25">
      <c r="A191" s="15"/>
      <c r="B191" s="17"/>
      <c r="C191" s="17"/>
      <c r="D191" s="15"/>
      <c r="E191" s="43"/>
      <c r="H191" s="15"/>
      <c r="I191" s="18"/>
      <c r="J191" s="15"/>
      <c r="M191" s="15"/>
      <c r="N191" s="15"/>
      <c r="O191" s="15"/>
    </row>
    <row r="192" spans="1:15" x14ac:dyDescent="0.25">
      <c r="A192" s="15"/>
      <c r="B192" s="17"/>
      <c r="C192" s="17"/>
      <c r="D192" s="15"/>
      <c r="E192" s="43"/>
      <c r="H192" s="15"/>
      <c r="I192" s="18"/>
      <c r="J192" s="15"/>
      <c r="M192" s="15"/>
      <c r="N192" s="15"/>
      <c r="O192" s="15"/>
    </row>
    <row r="193" spans="1:15" x14ac:dyDescent="0.25">
      <c r="A193" s="15"/>
      <c r="B193" s="17"/>
      <c r="C193" s="17"/>
      <c r="D193" s="15"/>
      <c r="E193" s="43"/>
      <c r="H193" s="15"/>
      <c r="I193" s="18"/>
      <c r="J193" s="15"/>
      <c r="M193" s="15"/>
      <c r="N193" s="15"/>
      <c r="O193" s="15"/>
    </row>
    <row r="194" spans="1:15" x14ac:dyDescent="0.25">
      <c r="A194" s="15"/>
      <c r="B194" s="17"/>
      <c r="C194" s="17"/>
      <c r="D194" s="15"/>
      <c r="E194" s="43"/>
      <c r="H194" s="15"/>
      <c r="I194" s="18"/>
      <c r="J194" s="15"/>
      <c r="M194" s="15"/>
      <c r="N194" s="15"/>
      <c r="O194" s="15"/>
    </row>
    <row r="195" spans="1:15" x14ac:dyDescent="0.25">
      <c r="A195" s="15"/>
      <c r="B195" s="17"/>
      <c r="C195" s="17"/>
      <c r="D195" s="15"/>
      <c r="E195" s="43"/>
      <c r="H195" s="15"/>
      <c r="I195" s="18"/>
      <c r="J195" s="15"/>
      <c r="M195" s="15"/>
      <c r="N195" s="15"/>
      <c r="O195" s="15"/>
    </row>
    <row r="196" spans="1:15" x14ac:dyDescent="0.25">
      <c r="A196" s="15"/>
      <c r="B196" s="17"/>
      <c r="C196" s="17"/>
      <c r="D196" s="15"/>
      <c r="E196" s="43"/>
      <c r="H196" s="15"/>
      <c r="I196" s="18"/>
      <c r="J196" s="15"/>
      <c r="M196" s="15"/>
      <c r="N196" s="15"/>
      <c r="O196" s="15"/>
    </row>
    <row r="197" spans="1:15" x14ac:dyDescent="0.25">
      <c r="A197" s="15"/>
      <c r="B197" s="17"/>
      <c r="C197" s="17"/>
      <c r="D197" s="15"/>
      <c r="E197" s="43"/>
      <c r="H197" s="15"/>
      <c r="I197" s="18"/>
      <c r="J197" s="15"/>
      <c r="M197" s="15"/>
      <c r="N197" s="15"/>
      <c r="O197" s="15"/>
    </row>
    <row r="198" spans="1:15" x14ac:dyDescent="0.25">
      <c r="A198" s="15"/>
      <c r="B198" s="17"/>
      <c r="C198" s="17"/>
      <c r="D198" s="15"/>
      <c r="E198" s="43"/>
      <c r="H198" s="15"/>
      <c r="I198" s="18"/>
      <c r="J198" s="15"/>
      <c r="M198" s="15"/>
      <c r="N198" s="15"/>
      <c r="O198" s="15"/>
    </row>
    <row r="199" spans="1:15" x14ac:dyDescent="0.25">
      <c r="A199" s="15"/>
      <c r="B199" s="17"/>
      <c r="C199" s="17"/>
      <c r="D199" s="15"/>
      <c r="E199" s="43"/>
      <c r="H199" s="15"/>
      <c r="I199" s="18"/>
      <c r="J199" s="15"/>
      <c r="M199" s="15"/>
      <c r="N199" s="15"/>
      <c r="O199" s="15"/>
    </row>
    <row r="200" spans="1:15" x14ac:dyDescent="0.25">
      <c r="A200" s="15"/>
      <c r="B200" s="17"/>
      <c r="C200" s="17"/>
      <c r="D200" s="15"/>
      <c r="E200" s="43"/>
      <c r="H200" s="15"/>
      <c r="I200" s="18"/>
      <c r="J200" s="15"/>
      <c r="M200" s="15"/>
      <c r="N200" s="15"/>
      <c r="O200" s="15"/>
    </row>
    <row r="201" spans="1:15" x14ac:dyDescent="0.25">
      <c r="A201" s="15"/>
      <c r="B201" s="17"/>
      <c r="C201" s="17"/>
      <c r="D201" s="15"/>
      <c r="E201" s="43"/>
      <c r="H201" s="15"/>
      <c r="I201" s="18"/>
      <c r="J201" s="15"/>
      <c r="M201" s="15"/>
      <c r="N201" s="15"/>
      <c r="O201" s="15"/>
    </row>
    <row r="202" spans="1:15" x14ac:dyDescent="0.25">
      <c r="A202" s="15"/>
      <c r="B202" s="17"/>
      <c r="C202" s="17"/>
      <c r="D202" s="15"/>
      <c r="E202" s="43"/>
      <c r="H202" s="15"/>
      <c r="I202" s="18"/>
      <c r="J202" s="15"/>
      <c r="M202" s="15"/>
      <c r="N202" s="15"/>
      <c r="O202" s="1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29763-97E9-4D2D-8836-3C9B54182B00}">
  <sheetPr codeName="Sheet2"/>
  <dimension ref="A1:N19"/>
  <sheetViews>
    <sheetView workbookViewId="0">
      <selection sqref="A1:D9"/>
    </sheetView>
  </sheetViews>
  <sheetFormatPr defaultRowHeight="13.8" x14ac:dyDescent="0.25"/>
  <cols>
    <col min="1" max="1" width="11.44140625" customWidth="1"/>
    <col min="2" max="2" width="16.109375" customWidth="1"/>
    <col min="3" max="3" width="12.77734375" customWidth="1"/>
  </cols>
  <sheetData>
    <row r="1" spans="1:14" x14ac:dyDescent="0.25">
      <c r="A1" s="1" t="s">
        <v>0</v>
      </c>
      <c r="B1" s="1" t="s">
        <v>8</v>
      </c>
      <c r="C1" t="s">
        <v>7</v>
      </c>
      <c r="D1" s="1" t="s">
        <v>9</v>
      </c>
    </row>
    <row r="2" spans="1:14" s="6" customFormat="1" x14ac:dyDescent="0.25">
      <c r="A2" s="5" t="s">
        <v>1</v>
      </c>
      <c r="B2" s="6">
        <v>2</v>
      </c>
      <c r="C2" s="6">
        <v>1</v>
      </c>
      <c r="D2" s="6">
        <v>3</v>
      </c>
    </row>
    <row r="3" spans="1:14" s="6" customFormat="1" x14ac:dyDescent="0.25">
      <c r="A3" s="5" t="s">
        <v>2</v>
      </c>
      <c r="B3" s="6">
        <v>3</v>
      </c>
      <c r="C3" s="6">
        <v>3</v>
      </c>
      <c r="D3" s="6">
        <v>2</v>
      </c>
    </row>
    <row r="4" spans="1:14" s="6" customFormat="1" x14ac:dyDescent="0.25">
      <c r="A4" s="5" t="s">
        <v>3</v>
      </c>
      <c r="B4" s="6">
        <v>1</v>
      </c>
      <c r="C4" s="6">
        <v>3</v>
      </c>
      <c r="D4" s="6">
        <v>1</v>
      </c>
    </row>
    <row r="5" spans="1:14" s="8" customFormat="1" x14ac:dyDescent="0.25">
      <c r="A5" s="7" t="s">
        <v>4</v>
      </c>
      <c r="B5" s="8">
        <v>1</v>
      </c>
      <c r="C5" s="8">
        <v>3</v>
      </c>
      <c r="D5" s="8">
        <v>2</v>
      </c>
    </row>
    <row r="6" spans="1:14" s="8" customFormat="1" x14ac:dyDescent="0.25">
      <c r="A6" s="7" t="s">
        <v>5</v>
      </c>
      <c r="B6" s="8">
        <v>1</v>
      </c>
      <c r="C6" s="8">
        <v>1</v>
      </c>
      <c r="D6" s="8">
        <v>2</v>
      </c>
    </row>
    <row r="7" spans="1:14" x14ac:dyDescent="0.25">
      <c r="A7" s="1" t="s">
        <v>6</v>
      </c>
      <c r="B7">
        <v>3</v>
      </c>
      <c r="C7" s="6">
        <v>3</v>
      </c>
      <c r="D7">
        <v>2</v>
      </c>
    </row>
    <row r="8" spans="1:14" x14ac:dyDescent="0.25">
      <c r="A8" s="4" t="s">
        <v>10</v>
      </c>
      <c r="B8">
        <v>2</v>
      </c>
      <c r="C8" s="6">
        <v>1</v>
      </c>
      <c r="D8">
        <v>0</v>
      </c>
    </row>
    <row r="9" spans="1:14" x14ac:dyDescent="0.25">
      <c r="A9" s="3" t="s">
        <v>11</v>
      </c>
      <c r="B9">
        <v>3</v>
      </c>
      <c r="C9" s="6">
        <v>1</v>
      </c>
      <c r="D9">
        <v>0</v>
      </c>
    </row>
    <row r="12" spans="1:14" x14ac:dyDescent="0.25">
      <c r="B12">
        <f>145*0.6</f>
        <v>87</v>
      </c>
    </row>
    <row r="13" spans="1:14" x14ac:dyDescent="0.25">
      <c r="B13">
        <f>145*0.5</f>
        <v>72.5</v>
      </c>
    </row>
    <row r="16" spans="1:14" x14ac:dyDescent="0.25">
      <c r="B16" s="48" t="s">
        <v>12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</row>
    <row r="17" spans="2:14" x14ac:dyDescent="0.25"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</row>
    <row r="18" spans="2:14" x14ac:dyDescent="0.25"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</row>
    <row r="19" spans="2:14" x14ac:dyDescent="0.25"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</row>
  </sheetData>
  <mergeCells count="1">
    <mergeCell ref="B16:N19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国家基础</vt:lpstr>
      <vt:lpstr>疫情处置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曹雪</dc:creator>
  <cp:lastModifiedBy>Samsung</cp:lastModifiedBy>
  <dcterms:created xsi:type="dcterms:W3CDTF">2015-06-05T18:19:34Z</dcterms:created>
  <dcterms:modified xsi:type="dcterms:W3CDTF">2023-02-19T05:42:28Z</dcterms:modified>
</cp:coreProperties>
</file>